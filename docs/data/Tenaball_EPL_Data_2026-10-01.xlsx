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gr Wins" sheetId="2" state="visible" r:id="rId4"/>
    <sheet name="Mgr Points" sheetId="3" state="visible" r:id="rId5"/>
    <sheet name="Mgr Clubs" sheetId="4" state="visible" r:id="rId6"/>
    <sheet name="Mgr Titles" sheetId="5" state="visible" r:id="rId7"/>
    <sheet name="Mgr Win %" sheetId="6" state="visible" r:id="rId8"/>
    <sheet name="Season Goals" sheetId="7" state="visible" r:id="rId9"/>
    <sheet name="20+ Seasons" sheetId="8" state="visible" r:id="rId10"/>
    <sheet name="20+ Players" sheetId="9" state="visible" r:id="rId11"/>
    <sheet name="Seasons Played" sheetId="10" state="visible" r:id="rId12"/>
    <sheet name="Signings" sheetId="11" state="visible" r:id="rId13"/>
    <sheet name="Sales Any" sheetId="12" state="visible" r:id="rId14"/>
    <sheet name="Sales Abroad" sheetId="13" state="visible" r:id="rId15"/>
    <sheet name="Club Records" sheetId="14" state="visible" r:id="rId16"/>
    <sheet name="GK Signings" sheetId="15" state="visible" r:id="rId17"/>
    <sheet name="DEF Signings" sheetId="16" state="visible" r:id="rId18"/>
    <sheet name="MID Signings" sheetId="17" state="visible" r:id="rId19"/>
    <sheet name="FWD Signings" sheetId="18" state="visible" r:id="rId20"/>
    <sheet name="Hat-tricks" sheetId="19" state="visible" r:id="rId21"/>
    <sheet name="Fastest 50" sheetId="20" state="visible" r:id="rId22"/>
    <sheet name="Fastest 100" sheetId="21" state="visible" r:id="rId23"/>
    <sheet name="Sources" sheetId="22" state="visible" r:id="rId2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<sst xmlns="http://schemas.openxmlformats.org/spreadsheetml/2006/main" count="1208" uniqueCount="593">
  <si>
    <t xml:space="preserve">Tenaball: collected EPL data</t>
  </si>
  <si>
    <t xml:space="preserve">Collected 1 Oct 2026 for Tenaball. This is research data, not finished questions.</t>
  </si>
  <si>
    <t xml:space="preserve">Instructions for Claude Code (TENEBALL chat)</t>
  </si>
  <si>
    <t xml:space="preserve">This is collected data from Craig. Analyse it and incorporate it into new Tenaball questions however you see fit.</t>
  </si>
  <si>
    <t xml:space="preserve">Follow the existing Tenaball rules: every question states its period as a line under the question; no answer in 4 or more slots; PL player/goal data counts from 1992/93.</t>
  </si>
  <si>
    <t xml:space="preserve">Where several entries tie at the bottom of a list, every tied entry is included so any of them can count as a valid answer. Tied entries at the cut-off are highlighted yellow.</t>
  </si>
  <si>
    <t xml:space="preserve">Rows marked 'Next' or 'Just outside' are reserves and are NOT valid answers to a top-10 question.</t>
  </si>
  <si>
    <t xml:space="preserve">Data currency</t>
  </si>
  <si>
    <t xml:space="preserve">2025/26 is the last complete season. 2026/27 is five matchweeks in; the next round is 10 to 12 Oct 2026.</t>
  </si>
  <si>
    <t xml:space="preserve">Live lists that can change: manager wins, points and win % (Moyes, Arteta, Maresca active), hat-tricks, Welbeck's seasons count.</t>
  </si>
  <si>
    <t xml:space="preserve">Guardiola left Man City in May 2026 (Maresca replaced him); Slot left Liverpool (Iraola); Milner retired June 2026. Their figures are final.</t>
  </si>
  <si>
    <t xml:space="preserve">Fee basis for transfer tabs</t>
  </si>
  <si>
    <t xml:space="preserve">Signings and position tabs use the headline fee (guaranteed plus reported add-ons). Sales tabs use the guaranteed fee, because add-ons on older deals (Hazard, Coutinho) were never fully paid. Transfermarkt could not be read directly; fees vary between outlets, so each board should footnote its basis.</t>
  </si>
  <si>
    <t xml:space="preserve">Tabs</t>
  </si>
  <si>
    <t xml:space="preserve">Mgr Wins: Most PL games won as manager</t>
  </si>
  <si>
    <t xml:space="preserve">Mgr Points: Most PL points as manager</t>
  </si>
  <si>
    <t xml:space="preserve">Mgr Clubs: Most PL clubs managed (14 answers)</t>
  </si>
  <si>
    <t xml:space="preserve">Mgr Titles: Most PL titles as manager (13 answers)</t>
  </si>
  <si>
    <t xml:space="preserve">Mgr Win %: Best win %, min 50 games</t>
  </si>
  <si>
    <t xml:space="preserve">Season Goals: Highest single-season goal totals (13 answers)</t>
  </si>
  <si>
    <t xml:space="preserve">20+ Seasons: Every 20+ goal season (99 instances)</t>
  </si>
  <si>
    <t xml:space="preserve">20+ Players: Every player with a 20+ season (53 players)</t>
  </si>
  <si>
    <t xml:space="preserve">Seasons Played: Most PL seasons played (12 answers)</t>
  </si>
  <si>
    <t xml:space="preserve">Signings: Most expensive transfers into PL clubs</t>
  </si>
  <si>
    <t xml:space="preserve">Sales Any: Biggest sales by PL clubs, any buyer</t>
  </si>
  <si>
    <t xml:space="preserve">Sales Abroad: Biggest sales by PL clubs to non-PL clubs</t>
  </si>
  <si>
    <t xml:space="preserve">Club Records: Record signing and sale, 10 clubs</t>
  </si>
  <si>
    <t xml:space="preserve">GK Signings: Most expensive goalkeepers</t>
  </si>
  <si>
    <t xml:space="preserve">DEF Signings: Most expensive defenders</t>
  </si>
  <si>
    <t xml:space="preserve">MID Signings: Most expensive midfielders</t>
  </si>
  <si>
    <t xml:space="preserve">FWD Signings: Most expensive forwards</t>
  </si>
  <si>
    <t xml:space="preserve">Hat-tricks: Most PL hat-tricks (15 answers)</t>
  </si>
  <si>
    <t xml:space="preserve">Fastest 50: Fastest to 50 PL goals (11 answers)</t>
  </si>
  <si>
    <t xml:space="preserve">Fastest 100: Fastest to 100 PL goals (11 answers)</t>
  </si>
  <si>
    <t xml:space="preserve">Sources: Main sources</t>
  </si>
  <si>
    <t xml:space="preserve">Most Premier League games won as manager</t>
  </si>
  <si>
    <t xml:space="preserve">Premier League only, 1992/93 to present (as at 1 Oct 2026; 2026/27 to matchweek 5)</t>
  </si>
  <si>
    <t xml:space="preserve">Rank</t>
  </si>
  <si>
    <t xml:space="preserve">Manager</t>
  </si>
  <si>
    <t xml:space="preserve">Wins</t>
  </si>
  <si>
    <t xml:space="preserve">Games</t>
  </si>
  <si>
    <t xml:space="preserve">Clubs / period</t>
  </si>
  <si>
    <t xml:space="preserve">Alex Ferguson</t>
  </si>
  <si>
    <t xml:space="preserve">Man Utd 1992-2013</t>
  </si>
  <si>
    <t xml:space="preserve">Arsène Wenger</t>
  </si>
  <si>
    <t xml:space="preserve">Arsenal 1996-2018</t>
  </si>
  <si>
    <t xml:space="preserve">David Moyes (active)</t>
  </si>
  <si>
    <t xml:space="preserve">Everton, Man Utd, Sunderland, West Ham, Everton</t>
  </si>
  <si>
    <t xml:space="preserve">Pep Guardiola</t>
  </si>
  <si>
    <t xml:space="preserve">Man City 2016-2026</t>
  </si>
  <si>
    <t xml:space="preserve">Harry Redknapp</t>
  </si>
  <si>
    <t xml:space="preserve">West Ham, Portsmouth, Southampton, Spurs, QPR</t>
  </si>
  <si>
    <t xml:space="preserve">José Mourinho</t>
  </si>
  <si>
    <t xml:space="preserve">Chelsea, Man Utd, Spurs</t>
  </si>
  <si>
    <t xml:space="preserve">Jürgen Klopp</t>
  </si>
  <si>
    <t xml:space="preserve">Liverpool 2015-2024</t>
  </si>
  <si>
    <t xml:space="preserve">Sam Allardyce</t>
  </si>
  <si>
    <t xml:space="preserve">9 clubs, 2001-2023</t>
  </si>
  <si>
    <t xml:space="preserve">Rafael Benítez</t>
  </si>
  <si>
    <t xml:space="preserve">Liverpool, Chelsea, Newcastle, Everton</t>
  </si>
  <si>
    <t xml:space="preserve">Mark Hughes</t>
  </si>
  <si>
    <t xml:space="preserve">6 clubs, 2004-2018</t>
  </si>
  <si>
    <t xml:space="preserve">Next</t>
  </si>
  <si>
    <t xml:space="preserve">Mikel Arteta (active)</t>
  </si>
  <si>
    <t xml:space="preserve">Arsenal; 5 wins short of Hughes, could enter this season</t>
  </si>
  <si>
    <t xml:space="preserve">Mauricio Pochettino</t>
  </si>
  <si>
    <t xml:space="preserve">Eddie Howe</t>
  </si>
  <si>
    <t xml:space="preserve">Notes</t>
  </si>
  <si>
    <t xml:space="preserve">No tie at 10th.</t>
  </si>
  <si>
    <t xml:space="preserve">Source gaps: StatMuse shows 1 fewer win for Moyes, Guardiola and Hughes; official/club figures used here.</t>
  </si>
  <si>
    <t xml:space="preserve">Most Premier League points as manager</t>
  </si>
  <si>
    <t xml:space="preserve">Points</t>
  </si>
  <si>
    <t xml:space="preserve">W-D-L</t>
  </si>
  <si>
    <t xml:space="preserve">528-168-114</t>
  </si>
  <si>
    <t xml:space="preserve">476-199-153</t>
  </si>
  <si>
    <t xml:space="preserve">292-202-265</t>
  </si>
  <si>
    <t xml:space="preserve">236-168-239</t>
  </si>
  <si>
    <t xml:space="preserve">May be +/-2</t>
  </si>
  <si>
    <t xml:space="preserve">269-58-53</t>
  </si>
  <si>
    <t xml:space="preserve">Final</t>
  </si>
  <si>
    <t xml:space="preserve">217-84-62</t>
  </si>
  <si>
    <t xml:space="preserve">209-78-47</t>
  </si>
  <si>
    <t xml:space="preserve">178-146-218</t>
  </si>
  <si>
    <t xml:space="preserve">May be +/-1</t>
  </si>
  <si>
    <t xml:space="preserve">173-86-100</t>
  </si>
  <si>
    <t xml:space="preserve">158-127-181</t>
  </si>
  <si>
    <t xml:space="preserve">Steve Bruce</t>
  </si>
  <si>
    <t xml:space="preserve">Roy Hodgson</t>
  </si>
  <si>
    <t xml:space="preserve">Points = 3 per win + 1 per draw. No tie at 10th.</t>
  </si>
  <si>
    <t xml:space="preserve">Redknapp and Allardyce may be 1 to 2 out due to source game-count gaps; positions unaffected.</t>
  </si>
  <si>
    <t xml:space="preserve">Most different Premier League clubs managed</t>
  </si>
  <si>
    <t xml:space="preserve">Clubs</t>
  </si>
  <si>
    <t xml:space="preserve">Which clubs</t>
  </si>
  <si>
    <t xml:space="preserve">Bolton, Newcastle, Blackburn, West Ham, Sunderland, Crystal Palace, Everton, West Brom, Leeds</t>
  </si>
  <si>
    <t xml:space="preserve">Blackburn, Fulham, Liverpool, West Brom, Crystal Palace, Watford</t>
  </si>
  <si>
    <t xml:space="preserve">Blackburn, Man City, Fulham, QPR, Stoke, Southampton</t>
  </si>
  <si>
    <t xml:space="preserve">Birmingham, Wigan, Sunderland, Hull, Newcastle</t>
  </si>
  <si>
    <t xml:space="preserve">Alan Pardew</t>
  </si>
  <si>
    <t xml:space="preserve">West Ham, Charlton, Newcastle, Crystal Palace, West Brom</t>
  </si>
  <si>
    <t xml:space="preserve">Ron Atkinson</t>
  </si>
  <si>
    <t xml:space="preserve">Aston Villa, Coventry, Sheffield Wednesday, Nottingham Forest</t>
  </si>
  <si>
    <t xml:space="preserve">David Moyes</t>
  </si>
  <si>
    <t xml:space="preserve">Everton, Man Utd, Sunderland, West Ham</t>
  </si>
  <si>
    <t xml:space="preserve">Nuno Espírito Santo</t>
  </si>
  <si>
    <t xml:space="preserve">Wolves, Spurs, Nottingham Forest, West Ham</t>
  </si>
  <si>
    <t xml:space="preserve">Claudio Ranieri</t>
  </si>
  <si>
    <t xml:space="preserve">Chelsea, Leicester, Fulham, Watford</t>
  </si>
  <si>
    <t xml:space="preserve">Marco Silva</t>
  </si>
  <si>
    <t xml:space="preserve">Hull, Watford, Everton, Fulham</t>
  </si>
  <si>
    <t xml:space="preserve">Graeme Souness</t>
  </si>
  <si>
    <t xml:space="preserve">Liverpool, Southampton, Blackburn, Newcastle</t>
  </si>
  <si>
    <t xml:space="preserve">Neil Warnock</t>
  </si>
  <si>
    <t xml:space="preserve">Sheffield Utd, QPR, Crystal Palace, Cardiff</t>
  </si>
  <si>
    <t xml:space="preserve">14 valid answers: 8 managers tied on 4 clubs (highlighted).</t>
  </si>
  <si>
    <t xml:space="preserve">Edge case: Chris Hughton has 3 (Newcastle, Norwich, Brighton); 4 only if 1990s Spurs caretaker spells count, which are usually credited to David Pleat. Not included.</t>
  </si>
  <si>
    <t xml:space="preserve">Caretaker spells count where they are PL games.</t>
  </si>
  <si>
    <t xml:space="preserve">Most Premier League titles as manager</t>
  </si>
  <si>
    <t xml:space="preserve">Premier League seasons 1992/93 to 2025/26</t>
  </si>
  <si>
    <t xml:space="preserve">Titles</t>
  </si>
  <si>
    <t xml:space="preserve">Seasons / club</t>
  </si>
  <si>
    <t xml:space="preserve">92/93, 93/94, 95/96, 96/97, 98/99, 99/00, 00/01, 02/03, 06/07, 07/08, 08/09, 10/11, 12/13 (Man Utd)</t>
  </si>
  <si>
    <t xml:space="preserve">17/18, 18/19, 20/21, 21/22, 22/23, 23/24 (Man City)</t>
  </si>
  <si>
    <t xml:space="preserve">04/05, 05/06, 14/15 (Chelsea)</t>
  </si>
  <si>
    <t xml:space="preserve">97/98, 01/02, 03/04 (Arsenal)</t>
  </si>
  <si>
    <t xml:space="preserve">Kenny Dalglish</t>
  </si>
  <si>
    <t xml:space="preserve">94/95 (Blackburn)</t>
  </si>
  <si>
    <t xml:space="preserve">Carlo Ancelotti</t>
  </si>
  <si>
    <t xml:space="preserve">09/10 (Chelsea)</t>
  </si>
  <si>
    <t xml:space="preserve">Roberto Mancini</t>
  </si>
  <si>
    <t xml:space="preserve">11/12 (Man City)</t>
  </si>
  <si>
    <t xml:space="preserve">Manuel Pellegrini</t>
  </si>
  <si>
    <t xml:space="preserve">13/14 (Man City)</t>
  </si>
  <si>
    <t xml:space="preserve">15/16 (Leicester)</t>
  </si>
  <si>
    <t xml:space="preserve">Antonio Conte</t>
  </si>
  <si>
    <t xml:space="preserve">16/17 (Chelsea)</t>
  </si>
  <si>
    <t xml:space="preserve">19/20 (Liverpool)</t>
  </si>
  <si>
    <t xml:space="preserve">Arne Slot</t>
  </si>
  <si>
    <t xml:space="preserve">24/25 (Liverpool)</t>
  </si>
  <si>
    <t xml:space="preserve">Mikel Arteta</t>
  </si>
  <si>
    <t xml:space="preserve">25/26 (Arsenal, 85 pts)</t>
  </si>
  <si>
    <t xml:space="preserve">13 valid answers: every PL title-winning manager. 9 tied on 1 (highlighted).</t>
  </si>
  <si>
    <t xml:space="preserve">Best Premier League win percentage (minimum 50 games)</t>
  </si>
  <si>
    <t xml:space="preserve">Win %</t>
  </si>
  <si>
    <t xml:space="preserve">Man City</t>
  </si>
  <si>
    <t xml:space="preserve">Man Utd</t>
  </si>
  <si>
    <t xml:space="preserve">Chelsea, Spurs</t>
  </si>
  <si>
    <t xml:space="preserve">Liverpool</t>
  </si>
  <si>
    <t xml:space="preserve">Arsenal</t>
  </si>
  <si>
    <t xml:space="preserve">Thomas Tuchel</t>
  </si>
  <si>
    <t xml:space="preserve">Chelsea</t>
  </si>
  <si>
    <t xml:space="preserve">Chelsea, Everton</t>
  </si>
  <si>
    <t xml:space="preserve">Enzo Maresca (active)</t>
  </si>
  <si>
    <t xml:space="preserve">Chelsea, Man City; 5/5 this season, could enter top 10</t>
  </si>
  <si>
    <t xml:space="preserve">Man City, West Ham</t>
  </si>
  <si>
    <t xml:space="preserve">Win % = wins / games (formula). No tie at 10th.</t>
  </si>
  <si>
    <t xml:space="preserve">Excluded under 50 games: Carrick, Scolari, Sarri, Hiddink, all short caretaker spells.</t>
  </si>
  <si>
    <t xml:space="preserve">Mancini sometimes shown as 133 games (62.4%); still 5th.</t>
  </si>
  <si>
    <t xml:space="preserve">Highest single-season Premier League goal totals by a player</t>
  </si>
  <si>
    <t xml:space="preserve">Player</t>
  </si>
  <si>
    <t xml:space="preserve">Goals</t>
  </si>
  <si>
    <t xml:space="preserve">Season</t>
  </si>
  <si>
    <t xml:space="preserve">Club / notes</t>
  </si>
  <si>
    <t xml:space="preserve">Erling Haaland</t>
  </si>
  <si>
    <t xml:space="preserve">22/23</t>
  </si>
  <si>
    <t xml:space="preserve">Andy Cole</t>
  </si>
  <si>
    <t xml:space="preserve">93/94</t>
  </si>
  <si>
    <t xml:space="preserve">Newcastle (42-game season)</t>
  </si>
  <si>
    <t xml:space="preserve">Alan Shearer</t>
  </si>
  <si>
    <t xml:space="preserve">94/95</t>
  </si>
  <si>
    <t xml:space="preserve">Blackburn (42-game season)</t>
  </si>
  <si>
    <t xml:space="preserve">Mohamed Salah</t>
  </si>
  <si>
    <t xml:space="preserve">17/18</t>
  </si>
  <si>
    <t xml:space="preserve">95/96</t>
  </si>
  <si>
    <t xml:space="preserve">Blackburn</t>
  </si>
  <si>
    <t xml:space="preserve">Cristiano Ronaldo</t>
  </si>
  <si>
    <t xml:space="preserve">07/08</t>
  </si>
  <si>
    <t xml:space="preserve">Luis Suárez</t>
  </si>
  <si>
    <t xml:space="preserve">13/14</t>
  </si>
  <si>
    <t xml:space="preserve">Kevin Phillips</t>
  </si>
  <si>
    <t xml:space="preserve">99/00</t>
  </si>
  <si>
    <t xml:space="preserve">Sunderland</t>
  </si>
  <si>
    <t xml:space="preserve">Thierry Henry</t>
  </si>
  <si>
    <t xml:space="preserve">03/04</t>
  </si>
  <si>
    <t xml:space="preserve">Robin van Persie</t>
  </si>
  <si>
    <t xml:space="preserve">11/12</t>
  </si>
  <si>
    <t xml:space="preserve">Harry Kane</t>
  </si>
  <si>
    <t xml:space="preserve">Spurs</t>
  </si>
  <si>
    <t xml:space="preserve">24/25</t>
  </si>
  <si>
    <t xml:space="preserve">16/17</t>
  </si>
  <si>
    <t xml:space="preserve">Didier Drogba</t>
  </si>
  <si>
    <t xml:space="preserve">09/10</t>
  </si>
  <si>
    <t xml:space="preserve">13 valid entries: 5 seasons tied on 30 (highlighted).</t>
  </si>
  <si>
    <t xml:space="preserve">Shearer fills 3 slots and Kane 2 (within the max-3 rule). If answers are player names, decide whether a repeat name scores once or per slot.</t>
  </si>
  <si>
    <t xml:space="preserve">Shearer's 31 in 93/94 is missing from Golden Boot winners lists because Cole won that year.</t>
  </si>
  <si>
    <t xml:space="preserve">Haaland 25/26 = 27 (Golden Boot), not enough for this list.</t>
  </si>
  <si>
    <t xml:space="preserve">Every 20+ goal Premier League season by a player</t>
  </si>
  <si>
    <t xml:space="preserve">Club</t>
  </si>
  <si>
    <t xml:space="preserve">92/93</t>
  </si>
  <si>
    <t xml:space="preserve">Teddy Sheringham</t>
  </si>
  <si>
    <t xml:space="preserve">Nottm Forest / Spurs</t>
  </si>
  <si>
    <t xml:space="preserve">Les Ferdinand</t>
  </si>
  <si>
    <t xml:space="preserve">QPR</t>
  </si>
  <si>
    <t xml:space="preserve">Newcastle</t>
  </si>
  <si>
    <t xml:space="preserve">Matt Le Tissier</t>
  </si>
  <si>
    <t xml:space="preserve">Southampton</t>
  </si>
  <si>
    <t xml:space="preserve">Chris Sutton</t>
  </si>
  <si>
    <t xml:space="preserve">Norwich</t>
  </si>
  <si>
    <t xml:space="preserve">Ian Wright</t>
  </si>
  <si>
    <t xml:space="preserve">Peter Beardsley</t>
  </si>
  <si>
    <t xml:space="preserve">Robbie Fowler</t>
  </si>
  <si>
    <t xml:space="preserve">Stan Collymore</t>
  </si>
  <si>
    <t xml:space="preserve">Nottm Forest</t>
  </si>
  <si>
    <t xml:space="preserve">Newcastle / Man Utd</t>
  </si>
  <si>
    <t xml:space="preserve">Jürgen Klinsmann</t>
  </si>
  <si>
    <t xml:space="preserve">96/97</t>
  </si>
  <si>
    <t xml:space="preserve">Dwight Yorke</t>
  </si>
  <si>
    <t xml:space="preserve">00/01</t>
  </si>
  <si>
    <t xml:space="preserve">Jimmy Floyd Hasselbaink</t>
  </si>
  <si>
    <t xml:space="preserve">01/02</t>
  </si>
  <si>
    <t xml:space="preserve">Ruud van Nistelrooy</t>
  </si>
  <si>
    <t xml:space="preserve">02/03</t>
  </si>
  <si>
    <t xml:space="preserve">James Beattie</t>
  </si>
  <si>
    <t xml:space="preserve">Mark Viduka</t>
  </si>
  <si>
    <t xml:space="preserve">Leeds</t>
  </si>
  <si>
    <t xml:space="preserve">Louis Saha</t>
  </si>
  <si>
    <t xml:space="preserve">Fulham / Man Utd</t>
  </si>
  <si>
    <t xml:space="preserve">04/05</t>
  </si>
  <si>
    <t xml:space="preserve">Andy Johnson</t>
  </si>
  <si>
    <t xml:space="preserve">Crystal Palace</t>
  </si>
  <si>
    <t xml:space="preserve">05/06</t>
  </si>
  <si>
    <t xml:space="preserve">06/07</t>
  </si>
  <si>
    <t xml:space="preserve">Emmanuel Adebayor</t>
  </si>
  <si>
    <t xml:space="preserve">Fernando Torres</t>
  </si>
  <si>
    <t xml:space="preserve">Wayne Rooney</t>
  </si>
  <si>
    <t xml:space="preserve">Darren Bent</t>
  </si>
  <si>
    <t xml:space="preserve">Carlos Tevez</t>
  </si>
  <si>
    <t xml:space="preserve">Frank Lampard</t>
  </si>
  <si>
    <t xml:space="preserve">10/11</t>
  </si>
  <si>
    <t xml:space="preserve">Dimitar Berbatov</t>
  </si>
  <si>
    <t xml:space="preserve">Sergio Agüero</t>
  </si>
  <si>
    <t xml:space="preserve">12/13</t>
  </si>
  <si>
    <t xml:space="preserve">Gareth Bale</t>
  </si>
  <si>
    <t xml:space="preserve">Daniel Sturridge</t>
  </si>
  <si>
    <t xml:space="preserve">Yaya Touré</t>
  </si>
  <si>
    <t xml:space="preserve">14/15</t>
  </si>
  <si>
    <t xml:space="preserve">Diego Costa</t>
  </si>
  <si>
    <t xml:space="preserve">15/16</t>
  </si>
  <si>
    <t xml:space="preserve">Jamie Vardy</t>
  </si>
  <si>
    <t xml:space="preserve">Leicester</t>
  </si>
  <si>
    <t xml:space="preserve">Romelu Lukaku</t>
  </si>
  <si>
    <t xml:space="preserve">Everton</t>
  </si>
  <si>
    <t xml:space="preserve">Alexis Sánchez</t>
  </si>
  <si>
    <t xml:space="preserve">18/19</t>
  </si>
  <si>
    <t xml:space="preserve">Pierre-Emerick Aubameyang</t>
  </si>
  <si>
    <t xml:space="preserve">Sadio Mané</t>
  </si>
  <si>
    <t xml:space="preserve">19/20</t>
  </si>
  <si>
    <t xml:space="preserve">Danny Ings</t>
  </si>
  <si>
    <t xml:space="preserve">Raheem Sterling</t>
  </si>
  <si>
    <t xml:space="preserve">20/21</t>
  </si>
  <si>
    <t xml:space="preserve">21/22</t>
  </si>
  <si>
    <t xml:space="preserve">Son Heung-min</t>
  </si>
  <si>
    <t xml:space="preserve">Ivan Toney</t>
  </si>
  <si>
    <t xml:space="preserve">Brentford</t>
  </si>
  <si>
    <t xml:space="preserve">23/24</t>
  </si>
  <si>
    <t xml:space="preserve">Cole Palmer</t>
  </si>
  <si>
    <t xml:space="preserve">Alexander Isak</t>
  </si>
  <si>
    <t xml:space="preserve">Bryan Mbeumo</t>
  </si>
  <si>
    <t xml:space="preserve">Chris Wood</t>
  </si>
  <si>
    <t xml:space="preserve">25/26</t>
  </si>
  <si>
    <t xml:space="preserve">Igor Thiago</t>
  </si>
  <si>
    <t xml:space="preserve">99 instances. No player reached 20 in 97/98, 98/99 or 08/09.</t>
  </si>
  <si>
    <t xml:space="preserve">Split-club totals combined: Sheringham 92/93, Cole 94/95, Saha 03/04.</t>
  </si>
  <si>
    <t xml:space="preserve">Cross-checked season by season against Wikipedia season pages and Football365's club breakdown.</t>
  </si>
  <si>
    <t xml:space="preserve">Every player to score 20+ PL goals in a season</t>
  </si>
  <si>
    <t xml:space="preserve">#</t>
  </si>
  <si>
    <t xml:space="preserve">20+ seasons</t>
  </si>
  <si>
    <t xml:space="preserve">Best</t>
  </si>
  <si>
    <t xml:space="preserve">Seasons (goals)</t>
  </si>
  <si>
    <t xml:space="preserve">93/94 (31), 94/95 (34), 95/96 (31), 96/97 (25), 99/00 (23), 01/02 (23), 03/04 (22)</t>
  </si>
  <si>
    <t xml:space="preserve">11/12 (23), 14/15 (26), 15/16 (24), 16/17 (20), 17/18 (21), 18/19 (21)</t>
  </si>
  <si>
    <t xml:space="preserve">14/15 (21), 15/16 (25), 16/17 (29), 17/18 (30), 20/21 (23), 22/23 (30)</t>
  </si>
  <si>
    <t xml:space="preserve">01/02 (24), 02/03 (24), 03/04 (30), 04/05 (25), 05/06 (27)</t>
  </si>
  <si>
    <t xml:space="preserve">17/18 (32), 18/19 (22), 20/21 (22), 21/22 (23), 24/25 (29)</t>
  </si>
  <si>
    <t xml:space="preserve">01/02 (23), 02/03 (25), 03/04 (20), 05/06 (21)</t>
  </si>
  <si>
    <t xml:space="preserve">22/23 (36), 23/24 (27), 24/25 (22), 25/26 (27)</t>
  </si>
  <si>
    <t xml:space="preserve">92/93 (20), 94/95 (24), 95/96 (25)</t>
  </si>
  <si>
    <t xml:space="preserve">15/16 (24), 17/18 (20), 19/20 (23)</t>
  </si>
  <si>
    <t xml:space="preserve">93/94 (34), 94/95 (21)</t>
  </si>
  <si>
    <t xml:space="preserve">93/94 (23), 96/97 (23)</t>
  </si>
  <si>
    <t xml:space="preserve">94/95 (25), 95/96 (28)</t>
  </si>
  <si>
    <t xml:space="preserve">00/01 (23), 01/02 (23)</t>
  </si>
  <si>
    <t xml:space="preserve">06/07 (20), 09/10 (29)</t>
  </si>
  <si>
    <t xml:space="preserve">09/10 (26), 11/12 (27)</t>
  </si>
  <si>
    <t xml:space="preserve">09/10 (23), 10/11 (20)</t>
  </si>
  <si>
    <t xml:space="preserve">11/12 (30), 12/13 (26)</t>
  </si>
  <si>
    <t xml:space="preserve">12/13 (23), 13/14 (31)</t>
  </si>
  <si>
    <t xml:space="preserve">14/15 (20), 16/17 (20)</t>
  </si>
  <si>
    <t xml:space="preserve">18/19 (22), 19/20 (22)</t>
  </si>
  <si>
    <t xml:space="preserve">23/24 (21), 24/25 (23)</t>
  </si>
  <si>
    <t xml:space="preserve">92/93 (22)</t>
  </si>
  <si>
    <t xml:space="preserve">93/94 (25)</t>
  </si>
  <si>
    <t xml:space="preserve">93/94 (21)</t>
  </si>
  <si>
    <t xml:space="preserve">94/95 (22)</t>
  </si>
  <si>
    <t xml:space="preserve">94/95 (20)</t>
  </si>
  <si>
    <t xml:space="preserve">99/00 (30)</t>
  </si>
  <si>
    <t xml:space="preserve">99/00 (20)</t>
  </si>
  <si>
    <t xml:space="preserve">02/03 (23)</t>
  </si>
  <si>
    <t xml:space="preserve">02/03 (20)</t>
  </si>
  <si>
    <t xml:space="preserve">03/04 (20)</t>
  </si>
  <si>
    <t xml:space="preserve">04/05 (21)</t>
  </si>
  <si>
    <t xml:space="preserve">07/08 (31)</t>
  </si>
  <si>
    <t xml:space="preserve">07/08 (24)</t>
  </si>
  <si>
    <t xml:space="preserve">09/10 (24)</t>
  </si>
  <si>
    <t xml:space="preserve">09/10 (22)</t>
  </si>
  <si>
    <t xml:space="preserve">10/11 (20)</t>
  </si>
  <si>
    <t xml:space="preserve">12/13 (21)</t>
  </si>
  <si>
    <t xml:space="preserve">13/14 (21)</t>
  </si>
  <si>
    <t xml:space="preserve">13/14 (20)</t>
  </si>
  <si>
    <t xml:space="preserve">16/17 (25)</t>
  </si>
  <si>
    <t xml:space="preserve">16/17 (24)</t>
  </si>
  <si>
    <t xml:space="preserve">18/19 (22)</t>
  </si>
  <si>
    <t xml:space="preserve">19/20 (22)</t>
  </si>
  <si>
    <t xml:space="preserve">19/20 (20)</t>
  </si>
  <si>
    <t xml:space="preserve">21/22 (23)</t>
  </si>
  <si>
    <t xml:space="preserve">22/23 (20)</t>
  </si>
  <si>
    <t xml:space="preserve">23/24 (22)</t>
  </si>
  <si>
    <t xml:space="preserve">24/25 (20)</t>
  </si>
  <si>
    <t xml:space="preserve">25/26 (22)</t>
  </si>
  <si>
    <t xml:space="preserve">53 valid answers. 20+ seasons count uses COUNTIF on the '20+ Seasons' tab; Best uses MAX of that player's goals.</t>
  </si>
  <si>
    <t xml:space="preserve">For a top-10 'most 20+ seasons' board: Shearer 7, Kane 6, Agüero 6, Henry 5, Salah 5, Van Nistelrooy 4, Haaland 4, Ferdinand 3, Vardy 3, then 12 players tied on 2.</t>
  </si>
  <si>
    <t xml:space="preserve">Most Premier League seasons played by a player</t>
  </si>
  <si>
    <t xml:space="preserve">Seasons</t>
  </si>
  <si>
    <t xml:space="preserve">PL apps</t>
  </si>
  <si>
    <t xml:space="preserve">Span / clubs</t>
  </si>
  <si>
    <t xml:space="preserve">James Milner (retired June 2026)</t>
  </si>
  <si>
    <t xml:space="preserve">2002/03-2025/26: Leeds, Newcastle, Aston Villa, Man City, Liverpool, Brighton</t>
  </si>
  <si>
    <t xml:space="preserve">Ryan Giggs</t>
  </si>
  <si>
    <t xml:space="preserve">1992/93-2013/14: Man Utd</t>
  </si>
  <si>
    <t xml:space="preserve">Gareth Barry</t>
  </si>
  <si>
    <t xml:space="preserve">1997/98-2017/18: Aston Villa, Man City, Everton, West Brom</t>
  </si>
  <si>
    <t xml:space="preserve">1995/96-2014/15: West Ham, Chelsea, Man City</t>
  </si>
  <si>
    <t xml:space="preserve">Rio Ferdinand</t>
  </si>
  <si>
    <t xml:space="preserve">1995/96-2014/15: West Ham, Leeds, Man Utd, QPR</t>
  </si>
  <si>
    <t xml:space="preserve">Danny Welbeck (active)</t>
  </si>
  <si>
    <t xml:space="preserve">2008/09-2026/27: Man Utd, Sunderland, Arsenal, Watford, Brighton, Chelsea. VERIFY 2026/27 apps</t>
  </si>
  <si>
    <t xml:space="preserve">Jermain Defoe</t>
  </si>
  <si>
    <t xml:space="preserve">2000/01-2018/19: West Ham, Spurs, Portsmouth, Sunderland, Bournemouth</t>
  </si>
  <si>
    <t xml:space="preserve">John Terry</t>
  </si>
  <si>
    <t xml:space="preserve">1998/99-2016/17: Chelsea</t>
  </si>
  <si>
    <t xml:space="preserve">Paul Scholes</t>
  </si>
  <si>
    <t xml:space="preserve">1994/95-2012/13: Man Utd</t>
  </si>
  <si>
    <t xml:space="preserve">Phil Neville</t>
  </si>
  <si>
    <t xml:space="preserve">1994/95-2012/13: Man Utd, Everton</t>
  </si>
  <si>
    <t xml:space="preserve">Sol Campbell</t>
  </si>
  <si>
    <t xml:space="preserve">1992/93-2010/11: Spurs, Arsenal, Portsmouth, Newcastle</t>
  </si>
  <si>
    <t xml:space="preserve">Shay Given</t>
  </si>
  <si>
    <t xml:space="preserve">1996/97-2016/17 (gaps 10/11, 13/14): Blackburn, Newcastle, Man City, Villa, Stoke</t>
  </si>
  <si>
    <t xml:space="preserve">Jonny Evans</t>
  </si>
  <si>
    <t xml:space="preserve">Ashley Young</t>
  </si>
  <si>
    <t xml:space="preserve">Peter Crouch</t>
  </si>
  <si>
    <t xml:space="preserve">Michael Carrick</t>
  </si>
  <si>
    <t xml:space="preserve">Mark Schwarzer</t>
  </si>
  <si>
    <t xml:space="preserve">David James</t>
  </si>
  <si>
    <t xml:space="preserve">12 valid answers: 7 tied on 19 (highlighted).</t>
  </si>
  <si>
    <t xml:space="preserve">A season counts if the player made at least one PL appearance.</t>
  </si>
  <si>
    <t xml:space="preserve">Welbeck's 19th season relies on 3 Chelsea apps in 2026/27 from a single source. Check before use; without it he drops to 18 and the board has 11 answers.</t>
  </si>
  <si>
    <t xml:space="preserve">Most expensive transfers into Premier League clubs (headline fee)</t>
  </si>
  <si>
    <t xml:space="preserve">All-time, to 1 Sept 2026 window close</t>
  </si>
  <si>
    <t xml:space="preserve">Fee (£m)</t>
  </si>
  <si>
    <t xml:space="preserve">Move</t>
  </si>
  <si>
    <t xml:space="preserve">Year / notes</t>
  </si>
  <si>
    <t xml:space="preserve">Newcastle to Liverpool</t>
  </si>
  <si>
    <t xml:space="preserve">2025</t>
  </si>
  <si>
    <t xml:space="preserve">Enzo Fernández</t>
  </si>
  <si>
    <t xml:space="preserve">Chelsea to Man City</t>
  </si>
  <si>
    <t xml:space="preserve">2026</t>
  </si>
  <si>
    <t xml:space="preserve">Bradley Barcola</t>
  </si>
  <si>
    <t xml:space="preserve">PSG to Liverpool</t>
  </si>
  <si>
    <t xml:space="preserve">Morgan Rogers</t>
  </si>
  <si>
    <t xml:space="preserve">Aston Villa to Chelsea</t>
  </si>
  <si>
    <t xml:space="preserve">Elliot Anderson</t>
  </si>
  <si>
    <t xml:space="preserve">Nottm Forest to Man City</t>
  </si>
  <si>
    <t xml:space="preserve">Florian Wirtz</t>
  </si>
  <si>
    <t xml:space="preserve">Leverkusen to Liverpool</t>
  </si>
  <si>
    <t xml:space="preserve">Moisés Caicedo</t>
  </si>
  <si>
    <t xml:space="preserve">Brighton to Chelsea</t>
  </si>
  <si>
    <t xml:space="preserve">2023</t>
  </si>
  <si>
    <t xml:space="preserve">Benfica to Chelsea</t>
  </si>
  <si>
    <t xml:space="preserve">Declan Rice</t>
  </si>
  <si>
    <t xml:space="preserve">West Ham to Arsenal</t>
  </si>
  <si>
    <t xml:space="preserve">Jack Grealish</t>
  </si>
  <si>
    <t xml:space="preserve">Aston Villa to Man City</t>
  </si>
  <si>
    <t xml:space="preserve">2021</t>
  </si>
  <si>
    <t xml:space="preserve">Sandro Tonali</t>
  </si>
  <si>
    <t xml:space="preserve">Newcastle to Spurs</t>
  </si>
  <si>
    <t xml:space="preserve">Inter to Chelsea</t>
  </si>
  <si>
    <t xml:space="preserve">Paul Pogba</t>
  </si>
  <si>
    <t xml:space="preserve">Juventus to Man Utd</t>
  </si>
  <si>
    <t xml:space="preserve">2016</t>
  </si>
  <si>
    <t xml:space="preserve">11 valid answers (Grealish and Tonali tied, highlighted).</t>
  </si>
  <si>
    <t xml:space="preserve">Includes PL-to-PL moves. Enzo Fernández fills 2 slots.</t>
  </si>
  <si>
    <t xml:space="preserve">On guaranteed fees only the order changes and Tonali drops out.</t>
  </si>
  <si>
    <t xml:space="preserve">Isak sometimes quoted £130m (incl. solidarity payments).</t>
  </si>
  <si>
    <t xml:space="preserve">Biggest sales by Premier League clubs, any buyer (guaranteed fee)</t>
  </si>
  <si>
    <t xml:space="preserve">All-time, to 1 Sept 2026</t>
  </si>
  <si>
    <t xml:space="preserve">Headline / max</t>
  </si>
  <si>
    <t xml:space="preserve">Philippe Coutinho</t>
  </si>
  <si>
    <t xml:space="preserve">Liverpool to Barcelona</t>
  </si>
  <si>
    <t xml:space="preserve">up to £142m</t>
  </si>
  <si>
    <t xml:space="preserve">£105m</t>
  </si>
  <si>
    <t xml:space="preserve">£115m</t>
  </si>
  <si>
    <t xml:space="preserve">£100m</t>
  </si>
  <si>
    <t xml:space="preserve">Eden Hazard</t>
  </si>
  <si>
    <t xml:space="preserve">Chelsea to Real Madrid</t>
  </si>
  <si>
    <t xml:space="preserve">up to £130m</t>
  </si>
  <si>
    <t xml:space="preserve">Spurs to Bayern</t>
  </si>
  <si>
    <t xml:space="preserve">Spurs to Real Madrid</t>
  </si>
  <si>
    <t xml:space="preserve">Overlaps heavily with Signings tab. 'Sales Abroad' is the better quiz board.</t>
  </si>
  <si>
    <t xml:space="preserve">Biggest sales by Premier League clubs to clubs outside the PL (guaranteed fee)</t>
  </si>
  <si>
    <t xml:space="preserve">Liverpool to Barcelona (2018)</t>
  </si>
  <si>
    <t xml:space="preserve">Chelsea to Real Madrid (2019)</t>
  </si>
  <si>
    <t xml:space="preserve">Spurs to Bayern (2023)</t>
  </si>
  <si>
    <t xml:space="preserve">£100m+ reported</t>
  </si>
  <si>
    <t xml:space="preserve">Spurs to Real Madrid (2013)</t>
  </si>
  <si>
    <t xml:space="preserve">Man Utd to Real Madrid (2009)</t>
  </si>
  <si>
    <t xml:space="preserve">Man Utd to Inter (2019)</t>
  </si>
  <si>
    <t xml:space="preserve">Anthony Gordon</t>
  </si>
  <si>
    <t xml:space="preserve">Newcastle to Barcelona (2026)</t>
  </si>
  <si>
    <t xml:space="preserve">Luis Díaz</t>
  </si>
  <si>
    <t xml:space="preserve">Liverpool to Bayern (2025)</t>
  </si>
  <si>
    <t xml:space="preserve">Liverpool to Barcelona (2014)</t>
  </si>
  <si>
    <t xml:space="preserve">£75m in UK reports at the time</t>
  </si>
  <si>
    <t xml:space="preserve">Jhon Durán</t>
  </si>
  <si>
    <t xml:space="preserve">Aston Villa to Al-Nassr (2025)</t>
  </si>
  <si>
    <t xml:space="preserve">Julián Álvarez</t>
  </si>
  <si>
    <t xml:space="preserve">Man City to Atlético (2024)</t>
  </si>
  <si>
    <t xml:space="preserve">£81.5m with add-ons</t>
  </si>
  <si>
    <t xml:space="preserve">Gabriel Martinelli</t>
  </si>
  <si>
    <t xml:space="preserve">Arsenal to Al Hilal (2026)</t>
  </si>
  <si>
    <t xml:space="preserve">11 valid answers: Durán and Álvarez are £0.1m apart, treated as tied (highlighted). On headline fees Álvarez would rank higher.</t>
  </si>
  <si>
    <t xml:space="preserve">Club record signing and sale</t>
  </si>
  <si>
    <t xml:space="preserve">All-time, to 1 Sept 2026 (headline fees)</t>
  </si>
  <si>
    <t xml:space="preserve">Record signing</t>
  </si>
  <si>
    <t xml:space="preserve">Record sale</t>
  </si>
  <si>
    <t xml:space="preserve">Paul Pogba (Juventus, 2016)</t>
  </si>
  <si>
    <t xml:space="preserve">Cristiano Ronaldo (Real Madrid, 2009)</t>
  </si>
  <si>
    <t xml:space="preserve">Alexander Isak (Newcastle, 2025)</t>
  </si>
  <si>
    <t xml:space="preserve">Philippe Coutinho (Barcelona, 2018)</t>
  </si>
  <si>
    <t xml:space="preserve">Coutinho £105m guaranteed</t>
  </si>
  <si>
    <t xml:space="preserve">Declan Rice (West Ham, 2023)</t>
  </si>
  <si>
    <t xml:space="preserve">Gabriel Martinelli (Al Hilal, Sept 2026)</t>
  </si>
  <si>
    <t xml:space="preserve">Previous sale record: Oxlade-Chamberlain c.£35m</t>
  </si>
  <si>
    <t xml:space="preserve">Morgan Rogers (Aston Villa, 2026)</t>
  </si>
  <si>
    <t xml:space="preserve">Enzo Fernández (Man City, 2026)</t>
  </si>
  <si>
    <t xml:space="preserve">Enzo Fernández (Chelsea, 2026)</t>
  </si>
  <si>
    <t xml:space="preserve">Savinho (Spurs, 2026)</t>
  </si>
  <si>
    <t xml:space="preserve">Savinho £75m + £10m</t>
  </si>
  <si>
    <t xml:space="preserve">Sandro Tonali (Newcastle, 2026)</t>
  </si>
  <si>
    <t xml:space="preserve">Harry Kane (Bayern, 2023)</t>
  </si>
  <si>
    <t xml:space="preserve">Nick Woltemade (Stuttgart, 2025)</t>
  </si>
  <si>
    <t xml:space="preserve">Alexander Isak (Liverpool, 2025)</t>
  </si>
  <si>
    <t xml:space="preserve">Aston Villa</t>
  </si>
  <si>
    <t xml:space="preserve">Nicolas Jackson (Chelsea, 2026)</t>
  </si>
  <si>
    <t xml:space="preserve">Morgan Rogers (Chelsea, 2026)</t>
  </si>
  <si>
    <t xml:space="preserve">On guaranteed fee, Manzambi £59.5m is Villa's record signing</t>
  </si>
  <si>
    <t xml:space="preserve">West Ham</t>
  </si>
  <si>
    <t xml:space="preserve">Lucas Paquetá (Lyon, 2022)</t>
  </si>
  <si>
    <t xml:space="preserve">Declan Rice (Arsenal, 2023)</t>
  </si>
  <si>
    <t xml:space="preserve">West Ham relegated May 2026</t>
  </si>
  <si>
    <t xml:space="preserve">Gylfi Sigurdsson (Swansea, 2017)</t>
  </si>
  <si>
    <t xml:space="preserve">Romelu Lukaku (Man Utd, 2017)</t>
  </si>
  <si>
    <t xml:space="preserve">Not a top-10 list. Could become a 10-answer board, e.g. 'name each club's record signing' with the club as the clue.</t>
  </si>
  <si>
    <t xml:space="preserve">Most expensive goalkeeper signings by PL clubs</t>
  </si>
  <si>
    <t xml:space="preserve">All-time PL club signings, to 1 Sept 2026 (headline fee; Transfermarkt position groups, wingers = forwards)</t>
  </si>
  <si>
    <t xml:space="preserve">Kepa Arrizabalaga</t>
  </si>
  <si>
    <t xml:space="preserve">Athletic to Chelsea</t>
  </si>
  <si>
    <t xml:space="preserve">2018</t>
  </si>
  <si>
    <t xml:space="preserve">Alisson</t>
  </si>
  <si>
    <t xml:space="preserve">Roma to Liverpool</t>
  </si>
  <si>
    <t xml:space="preserve">André Onana</t>
  </si>
  <si>
    <t xml:space="preserve">Inter to Man Utd</t>
  </si>
  <si>
    <t xml:space="preserve">James Trafford</t>
  </si>
  <si>
    <t xml:space="preserve">Man City to Leeds</t>
  </si>
  <si>
    <t xml:space="preserve">Ederson</t>
  </si>
  <si>
    <t xml:space="preserve">Benfica to Man City</t>
  </si>
  <si>
    <t xml:space="preserve">2017</t>
  </si>
  <si>
    <t xml:space="preserve">Burnley to Man City</t>
  </si>
  <si>
    <t xml:space="preserve">Jordan Pickford</t>
  </si>
  <si>
    <t xml:space="preserve">Sunderland to Everton</t>
  </si>
  <si>
    <t xml:space="preserve">Aaron Ramsdale</t>
  </si>
  <si>
    <t xml:space="preserve">Sheffield Utd to Arsenal</t>
  </si>
  <si>
    <t xml:space="preserve">Giorgi Mamardashvili</t>
  </si>
  <si>
    <t xml:space="preserve">Valencia to Liverpool</t>
  </si>
  <si>
    <t xml:space="preserve">2024/25</t>
  </si>
  <si>
    <t xml:space="preserve">David Raya</t>
  </si>
  <si>
    <t xml:space="preserve">Brentford to Arsenal</t>
  </si>
  <si>
    <t xml:space="preserve">2024</t>
  </si>
  <si>
    <t xml:space="preserve">Gianluigi Donnarumma</t>
  </si>
  <si>
    <t xml:space="preserve">PSG to Man City</t>
  </si>
  <si>
    <t xml:space="preserve">Trafford fills 2 slots.</t>
  </si>
  <si>
    <t xml:space="preserve">Raya becomes £30m (joint 7th) if his £3m loan fee is added.</t>
  </si>
  <si>
    <t xml:space="preserve">Most expensive defender signings by PL clubs</t>
  </si>
  <si>
    <t xml:space="preserve">Harry Maguire</t>
  </si>
  <si>
    <t xml:space="preserve">Leicester to Man Utd</t>
  </si>
  <si>
    <t xml:space="preserve">2019</t>
  </si>
  <si>
    <t xml:space="preserve">Joško Gvardiol</t>
  </si>
  <si>
    <t xml:space="preserve">Leipzig to Man City</t>
  </si>
  <si>
    <t xml:space="preserve">Virgil van Dijk</t>
  </si>
  <si>
    <t xml:space="preserve">Southampton to Liverpool</t>
  </si>
  <si>
    <t xml:space="preserve">Wesley Fofana</t>
  </si>
  <si>
    <t xml:space="preserve">Leicester to Chelsea</t>
  </si>
  <si>
    <t xml:space="preserve">2022</t>
  </si>
  <si>
    <t xml:space="preserve">Rúben Dias</t>
  </si>
  <si>
    <t xml:space="preserve">2020</t>
  </si>
  <si>
    <t xml:space="preserve">Marc Cucurella</t>
  </si>
  <si>
    <t xml:space="preserve">João Cancelo</t>
  </si>
  <si>
    <t xml:space="preserve">Juventus to Man City</t>
  </si>
  <si>
    <t xml:space="preserve">Jérémy Jacquet</t>
  </si>
  <si>
    <t xml:space="preserve">Rennes to Liverpool</t>
  </si>
  <si>
    <t xml:space="preserve">Leny Yoro</t>
  </si>
  <si>
    <t xml:space="preserve">Lille to Man Utd</t>
  </si>
  <si>
    <t xml:space="preserve">Aymeric Laporte</t>
  </si>
  <si>
    <t xml:space="preserve">Athletic to Man City</t>
  </si>
  <si>
    <t xml:space="preserve">Lisandro Martínez</t>
  </si>
  <si>
    <t xml:space="preserve">Ajax to Man Utd</t>
  </si>
  <si>
    <t xml:space="preserve">Ezri Konsa</t>
  </si>
  <si>
    <t xml:space="preserve">Aston Villa to Arsenal</t>
  </si>
  <si>
    <t xml:space="preserve">No tie at 10th. Guéhi moved to Man City Jan 2026 for only £20m.</t>
  </si>
  <si>
    <t xml:space="preserve">Most expensive midfielder signings by PL clubs</t>
  </si>
  <si>
    <t xml:space="preserve">2026 (debatable: some class as forward)</t>
  </si>
  <si>
    <t xml:space="preserve">Ayyoub Bouaddi</t>
  </si>
  <si>
    <t xml:space="preserve">Lille to Man City</t>
  </si>
  <si>
    <t xml:space="preserve">Mateus Fernandes</t>
  </si>
  <si>
    <t xml:space="preserve">West Ham to Spurs</t>
  </si>
  <si>
    <t xml:space="preserve">Enzo Fernández fills 2 slots.</t>
  </si>
  <si>
    <t xml:space="preserve">If Rogers is treated as a forward, Mateus Fernandes enters at 10th here.</t>
  </si>
  <si>
    <t xml:space="preserve">Most expensive forward signings by PL clubs (incl. wingers)</t>
  </si>
  <si>
    <t xml:space="preserve">Everton to Man Utd</t>
  </si>
  <si>
    <t xml:space="preserve">Mykhailo Mudryk</t>
  </si>
  <si>
    <t xml:space="preserve">Shakhtar to Chelsea</t>
  </si>
  <si>
    <t xml:space="preserve">Antony</t>
  </si>
  <si>
    <t xml:space="preserve">Savinho</t>
  </si>
  <si>
    <t xml:space="preserve">Man City to Spurs</t>
  </si>
  <si>
    <t xml:space="preserve">Darwin Núñez</t>
  </si>
  <si>
    <t xml:space="preserve">Benfica to Liverpool</t>
  </si>
  <si>
    <t xml:space="preserve">Hugo Ekitike</t>
  </si>
  <si>
    <t xml:space="preserve">Frankfurt to Liverpool</t>
  </si>
  <si>
    <t xml:space="preserve">Benjamin Šeško</t>
  </si>
  <si>
    <t xml:space="preserve">Leipzig to Man Utd</t>
  </si>
  <si>
    <t xml:space="preserve">Lukaku fills 2 slots.</t>
  </si>
  <si>
    <t xml:space="preserve">If Rogers is classed as a forward he goes in at 3rd (£117m) and Ekitike drops out.</t>
  </si>
  <si>
    <t xml:space="preserve">Most Premier League hat-tricks</t>
  </si>
  <si>
    <t xml:space="preserve">Hat-tricks</t>
  </si>
  <si>
    <t xml:space="preserve">Michael Owen</t>
  </si>
  <si>
    <t xml:space="preserve">15 valid answers: 6 tied on 5 (highlighted).</t>
  </si>
  <si>
    <t xml:space="preserve">Live list: recheck the latest round before use (source updated 20 Sept 2026). Haaland has none since 2024/25.</t>
  </si>
  <si>
    <t xml:space="preserve">Many players on 4 (Salah, Son, Palmer and others), one short of the cut-off.</t>
  </si>
  <si>
    <t xml:space="preserve">Fastest to 50 Premier League goals (games taken)</t>
  </si>
  <si>
    <t xml:space="preserve">11 valid answers (Henry and Phillips tied, highlighted).</t>
  </si>
  <si>
    <t xml:space="preserve">Fastest to 100 Premier League goals (games taken)</t>
  </si>
  <si>
    <t xml:space="preserve">100th goal</t>
  </si>
  <si>
    <t xml:space="preserve">vs Fulham, 2 Dec 2025</t>
  </si>
  <si>
    <t xml:space="preserve">vs Spurs, 30 Dec 1995</t>
  </si>
  <si>
    <t xml:space="preserve">vs Liverpool, 4 Feb 2018</t>
  </si>
  <si>
    <t xml:space="preserve">vs Newcastle, 19 Apr 2016</t>
  </si>
  <si>
    <t xml:space="preserve">vs Southampton, 10 Feb 2004</t>
  </si>
  <si>
    <t xml:space="preserve">vs Leeds, 12 Sep 2021</t>
  </si>
  <si>
    <t xml:space="preserve">vs Bolton, 13 Sep 1997</t>
  </si>
  <si>
    <t xml:space="preserve">vs Southampton, 16 Jan 1999</t>
  </si>
  <si>
    <t xml:space="preserve">vs Nottm Forest, 11 May 1997</t>
  </si>
  <si>
    <t xml:space="preserve">vs West Brom, 26 Apr 2003</t>
  </si>
  <si>
    <t xml:space="preserve">11 valid answers (Owen and Cole tied, highlighted).</t>
  </si>
  <si>
    <t xml:space="preserve">Andy Cole's 185 is the least well sourced figure; verify if possible.</t>
  </si>
  <si>
    <t xml:space="preserve">Shearer sometimes quoted as 121; Premier League official figure 124 used.</t>
  </si>
  <si>
    <t xml:space="preserve">Main sources</t>
  </si>
  <si>
    <t xml:space="preserve">https://en.wikipedia.org/wiki/List_of_Premier_League_managers</t>
  </si>
  <si>
    <t xml:space="preserve">https://www.statmuse.com/fc</t>
  </si>
  <si>
    <t xml:space="preserve">https://www.mancity.com/news/mens/pep-guardiola-manchester-city-stats-records-63915079</t>
  </si>
  <si>
    <t xml:space="preserve">https://theanalyst.com/2024/05/most-premier-league-games-by-managers</t>
  </si>
  <si>
    <t xml:space="preserve">https://en.wikipedia.org/wiki/Premier_League_Golden_Boot</t>
  </si>
  <si>
    <t xml:space="preserve">https://en.wikipedia.org/wiki/List_of_Premier_League_hat-tricks</t>
  </si>
  <si>
    <t xml:space="preserve">https://www.myfootballfacts.com/premier-league/all-time-premier-league/top-scorers/all-time-premier-league-hat-tricks/</t>
  </si>
  <si>
    <t xml:space="preserve">https://theanalyst.com/articles/the-fastest-players-to-50-premier-league-goals</t>
  </si>
  <si>
    <t xml:space="preserve">https://theanalyst.com/articles/fastest-players-to-100-premier-league-goals</t>
  </si>
  <si>
    <t xml:space="preserve">https://www.premierleague.com/en/news/4455995/erling-haaland-scores-100th-premier-league-goal-in-record-number-of-matches</t>
  </si>
  <si>
    <t xml:space="preserve">https://www.football365.com/news/20-goal-premier-league-seasons-the-statistics</t>
  </si>
  <si>
    <t xml:space="preserve">https://www.premierleague.com/en/news/662064</t>
  </si>
  <si>
    <t xml:space="preserve">https://www.statmuse.com/fc/ask/most-premier-league-seasons-played</t>
  </si>
  <si>
    <t xml:space="preserve">https://en.wikipedia.org/wiki/List_of_most_expensive_association_football_transfers</t>
  </si>
  <si>
    <t xml:space="preserve">https://www.skysports.com/football/news/13579972/enzo-fernandez-transfer-news-man-city-sign-midfielder-from-chelsea-in-british-record-equalling-lb125m-deal</t>
  </si>
  <si>
    <t xml:space="preserve">https://sports.yahoo.com/articles/every-premier-league-club-record-140500145.html</t>
  </si>
  <si>
    <t xml:space="preserve">https://www.football365.com/news/most-expensive-goalkeeper-signings-ever-kepa-alisson-arsenal-man-utd</t>
  </si>
  <si>
    <t xml:space="preserve">https://www.football365.com/news/most-expensive-defenders-ever-maguire-man-utd-manchester-city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</si>
</sst>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26.85" hidden="false" customHeight="false" outlineLevel="0" collapsed="false">
      <c r="A6" s="2" t="s">
        <v>4</v>
      </c>
    </row>
    <row r="7" customFormat="false" ht="26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39.5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4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4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4" t="s">
        <v>22</v>
      </c>
    </row>
    <row r="28" customFormat="false" ht="15" hidden="false" customHeight="false" outlineLevel="0" collapsed="false">
      <c r="A28" s="4" t="s">
        <v>23</v>
      </c>
    </row>
    <row r="29" customFormat="false" ht="15" hidden="false" customHeight="false" outlineLevel="0" collapsed="false">
      <c r="A29" s="4" t="s">
        <v>24</v>
      </c>
    </row>
    <row r="30" customFormat="false" ht="15" hidden="false" customHeight="false" outlineLevel="0" collapsed="false">
      <c r="A30" s="4" t="s">
        <v>25</v>
      </c>
    </row>
    <row r="31" customFormat="false" ht="15" hidden="false" customHeight="false" outlineLevel="0" collapsed="false">
      <c r="A31" s="4" t="s">
        <v>26</v>
      </c>
    </row>
    <row r="32" customFormat="false" ht="15" hidden="false" customHeight="false" outlineLevel="0" collapsed="false">
      <c r="A32" s="4" t="s">
        <v>27</v>
      </c>
    </row>
    <row r="33" customFormat="false" ht="15" hidden="false" customHeight="false" outlineLevel="0" collapsed="false">
      <c r="A33" s="4" t="s">
        <v>28</v>
      </c>
    </row>
    <row r="34" customFormat="false" ht="15" hidden="false" customHeight="false" outlineLevel="0" collapsed="false">
      <c r="A34" s="4" t="s">
        <v>29</v>
      </c>
    </row>
    <row r="35" customFormat="false" ht="15" hidden="false" customHeight="false" outlineLevel="0" collapsed="false">
      <c r="A35" s="4" t="s">
        <v>30</v>
      </c>
    </row>
    <row r="36" customFormat="false" ht="15" hidden="false" customHeight="false" outlineLevel="0" collapsed="false">
      <c r="A36" s="4" t="s">
        <v>31</v>
      </c>
    </row>
    <row r="37" customFormat="false" ht="15" hidden="false" customHeight="false" outlineLevel="0" collapsed="false">
      <c r="A37" s="4" t="s">
        <v>32</v>
      </c>
    </row>
    <row r="38" customFormat="false" ht="15" hidden="false" customHeight="false" outlineLevel="0" collapsed="false">
      <c r="A38" s="4" t="s">
        <v>33</v>
      </c>
    </row>
    <row r="39" customFormat="false" ht="15" hidden="false" customHeight="false" outlineLevel="0" collapsed="false">
      <c r="A39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5" t="s">
        <v>35</v>
      </c>
    </row>
    <row r="2" customFormat="false" ht="15" hidden="false" customHeight="false" outlineLevel="0" collapsed="false">
      <c r="A2" s="6" t="s">
        <v>36</v>
      </c>
    </row>
    <row r="4" customFormat="false" ht="15" hidden="false" customHeight="false" outlineLevel="0" collapsed="false">
      <c r="A4" s="7" t="s">
        <v>37</v>
      </c>
      <c r="B4" s="7" t="s">
        <v>38</v>
      </c>
      <c r="C4" s="7" t="s">
        <v>39</v>
      </c>
      <c r="D4" s="7" t="s">
        <v>40</v>
      </c>
      <c r="E4" s="7" t="s">
        <v>41</v>
      </c>
    </row>
    <row r="5" customFormat="false" ht="15" hidden="false" customHeight="false" outlineLevel="0" collapsed="false">
      <c r="A5" s="8" t="n">
        <v>1</v>
      </c>
      <c r="B5" s="8" t="s">
        <v>42</v>
      </c>
      <c r="C5" s="8" t="n">
        <v>528</v>
      </c>
      <c r="D5" s="8" t="n">
        <v>810</v>
      </c>
      <c r="E5" s="8" t="s">
        <v>43</v>
      </c>
    </row>
    <row r="6" customFormat="false" ht="15" hidden="false" customHeight="false" outlineLevel="0" collapsed="false">
      <c r="A6" s="8" t="n">
        <v>2</v>
      </c>
      <c r="B6" s="8" t="s">
        <v>44</v>
      </c>
      <c r="C6" s="8" t="n">
        <v>476</v>
      </c>
      <c r="D6" s="8" t="n">
        <v>828</v>
      </c>
      <c r="E6" s="8" t="s">
        <v>45</v>
      </c>
    </row>
    <row r="7" customFormat="false" ht="15" hidden="false" customHeight="false" outlineLevel="0" collapsed="false">
      <c r="A7" s="8" t="n">
        <v>3</v>
      </c>
      <c r="B7" s="8" t="s">
        <v>46</v>
      </c>
      <c r="C7" s="8" t="n">
        <v>292</v>
      </c>
      <c r="D7" s="8" t="n">
        <v>759</v>
      </c>
      <c r="E7" s="8" t="s">
        <v>47</v>
      </c>
    </row>
    <row r="8" customFormat="false" ht="15" hidden="false" customHeight="false" outlineLevel="0" collapsed="false">
      <c r="A8" s="8" t="n">
        <v>4</v>
      </c>
      <c r="B8" s="8" t="s">
        <v>48</v>
      </c>
      <c r="C8" s="8" t="n">
        <v>269</v>
      </c>
      <c r="D8" s="8" t="n">
        <v>380</v>
      </c>
      <c r="E8" s="8" t="s">
        <v>49</v>
      </c>
    </row>
    <row r="9" customFormat="false" ht="15" hidden="false" customHeight="false" outlineLevel="0" collapsed="false">
      <c r="A9" s="8" t="n">
        <v>5</v>
      </c>
      <c r="B9" s="8" t="s">
        <v>50</v>
      </c>
      <c r="C9" s="8" t="n">
        <v>236</v>
      </c>
      <c r="D9" s="8" t="n">
        <v>641</v>
      </c>
      <c r="E9" s="8" t="s">
        <v>51</v>
      </c>
    </row>
    <row r="10" customFormat="false" ht="15" hidden="false" customHeight="false" outlineLevel="0" collapsed="false">
      <c r="A10" s="8" t="n">
        <v>6</v>
      </c>
      <c r="B10" s="8" t="s">
        <v>52</v>
      </c>
      <c r="C10" s="8" t="n">
        <v>217</v>
      </c>
      <c r="D10" s="8" t="n">
        <v>363</v>
      </c>
      <c r="E10" s="8" t="s">
        <v>53</v>
      </c>
    </row>
    <row r="11" customFormat="false" ht="15" hidden="false" customHeight="false" outlineLevel="0" collapsed="false">
      <c r="A11" s="8" t="n">
        <v>7</v>
      </c>
      <c r="B11" s="8" t="s">
        <v>54</v>
      </c>
      <c r="C11" s="8" t="n">
        <v>209</v>
      </c>
      <c r="D11" s="8" t="n">
        <v>334</v>
      </c>
      <c r="E11" s="8" t="s">
        <v>55</v>
      </c>
    </row>
    <row r="12" customFormat="false" ht="15" hidden="false" customHeight="false" outlineLevel="0" collapsed="false">
      <c r="A12" s="8" t="n">
        <v>8</v>
      </c>
      <c r="B12" s="8" t="s">
        <v>56</v>
      </c>
      <c r="C12" s="8" t="n">
        <v>178</v>
      </c>
      <c r="D12" s="8" t="n">
        <v>541</v>
      </c>
      <c r="E12" s="8" t="s">
        <v>57</v>
      </c>
    </row>
    <row r="13" customFormat="false" ht="15" hidden="false" customHeight="false" outlineLevel="0" collapsed="false">
      <c r="A13" s="8" t="n">
        <v>9</v>
      </c>
      <c r="B13" s="8" t="s">
        <v>58</v>
      </c>
      <c r="C13" s="8" t="n">
        <v>173</v>
      </c>
      <c r="D13" s="8" t="n">
        <v>359</v>
      </c>
      <c r="E13" s="8" t="s">
        <v>59</v>
      </c>
    </row>
    <row r="14" customFormat="false" ht="15" hidden="false" customHeight="false" outlineLevel="0" collapsed="false">
      <c r="A14" s="8" t="n">
        <v>10</v>
      </c>
      <c r="B14" s="8" t="s">
        <v>60</v>
      </c>
      <c r="C14" s="8" t="n">
        <v>158</v>
      </c>
      <c r="D14" s="8" t="n">
        <v>466</v>
      </c>
      <c r="E14" s="8" t="s">
        <v>61</v>
      </c>
    </row>
    <row r="15" customFormat="false" ht="26.85" hidden="false" customHeight="false" outlineLevel="0" collapsed="false">
      <c r="A15" s="8" t="s">
        <v>62</v>
      </c>
      <c r="B15" s="8" t="s">
        <v>63</v>
      </c>
      <c r="C15" s="8" t="n">
        <v>153</v>
      </c>
      <c r="D15" s="8" t="n">
        <v>253</v>
      </c>
      <c r="E15" s="8" t="s">
        <v>64</v>
      </c>
    </row>
    <row r="16" customFormat="false" ht="15" hidden="false" customHeight="false" outlineLevel="0" collapsed="false">
      <c r="A16" s="8" t="s">
        <v>62</v>
      </c>
      <c r="B16" s="8" t="s">
        <v>65</v>
      </c>
      <c r="C16" s="8" t="n">
        <v>150</v>
      </c>
      <c r="D16" s="8" t="n">
        <v>294</v>
      </c>
      <c r="E16" s="8"/>
    </row>
    <row r="17" customFormat="false" ht="15" hidden="false" customHeight="false" outlineLevel="0" collapsed="false">
      <c r="A17" s="8" t="s">
        <v>62</v>
      </c>
      <c r="B17" s="8" t="s">
        <v>66</v>
      </c>
      <c r="C17" s="8" t="n">
        <v>140</v>
      </c>
      <c r="D17" s="8" t="n">
        <v>369</v>
      </c>
      <c r="E17" s="8"/>
    </row>
    <row r="19" customFormat="false" ht="15" hidden="false" customHeight="false" outlineLevel="0" collapsed="false">
      <c r="A19" s="9" t="s">
        <v>67</v>
      </c>
    </row>
    <row r="20" customFormat="false" ht="15" hidden="false" customHeight="false" outlineLevel="0" collapsed="false">
      <c r="A20" s="4" t="s">
        <v>68</v>
      </c>
    </row>
    <row r="21" customFormat="false" ht="15" hidden="false" customHeight="false" outlineLevel="0" collapsed="false">
      <c r="A21" s="4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5" t="s">
        <v>70</v>
      </c>
    </row>
    <row r="2" customFormat="false" ht="15" hidden="false" customHeight="false" outlineLevel="0" collapsed="false">
      <c r="A2" s="6" t="s">
        <v>36</v>
      </c>
    </row>
    <row r="4" customFormat="false" ht="15" hidden="false" customHeight="false" outlineLevel="0" collapsed="false">
      <c r="A4" s="7" t="s">
        <v>37</v>
      </c>
      <c r="B4" s="7" t="s">
        <v>38</v>
      </c>
      <c r="C4" s="7" t="s">
        <v>71</v>
      </c>
      <c r="D4" s="7" t="s">
        <v>72</v>
      </c>
      <c r="E4" s="7" t="s">
        <v>67</v>
      </c>
    </row>
    <row r="5" customFormat="false" ht="15" hidden="false" customHeight="false" outlineLevel="0" collapsed="false">
      <c r="A5" s="8" t="n">
        <v>1</v>
      </c>
      <c r="B5" s="8" t="s">
        <v>42</v>
      </c>
      <c r="C5" s="8" t="n">
        <v>1752</v>
      </c>
      <c r="D5" s="8" t="s">
        <v>73</v>
      </c>
      <c r="E5" s="8"/>
    </row>
    <row r="6" customFormat="false" ht="15" hidden="false" customHeight="false" outlineLevel="0" collapsed="false">
      <c r="A6" s="8" t="n">
        <v>2</v>
      </c>
      <c r="B6" s="8" t="s">
        <v>44</v>
      </c>
      <c r="C6" s="8" t="n">
        <v>1627</v>
      </c>
      <c r="D6" s="8" t="s">
        <v>74</v>
      </c>
      <c r="E6" s="8"/>
    </row>
    <row r="7" customFormat="false" ht="15" hidden="false" customHeight="false" outlineLevel="0" collapsed="false">
      <c r="A7" s="8" t="n">
        <v>3</v>
      </c>
      <c r="B7" s="8" t="s">
        <v>46</v>
      </c>
      <c r="C7" s="8" t="n">
        <v>1078</v>
      </c>
      <c r="D7" s="8" t="s">
        <v>75</v>
      </c>
      <c r="E7" s="8"/>
    </row>
    <row r="8" customFormat="false" ht="15" hidden="false" customHeight="false" outlineLevel="0" collapsed="false">
      <c r="A8" s="8" t="n">
        <v>4</v>
      </c>
      <c r="B8" s="8" t="s">
        <v>50</v>
      </c>
      <c r="C8" s="8" t="n">
        <v>876</v>
      </c>
      <c r="D8" s="8" t="s">
        <v>76</v>
      </c>
      <c r="E8" s="8" t="s">
        <v>77</v>
      </c>
    </row>
    <row r="9" customFormat="false" ht="15" hidden="false" customHeight="false" outlineLevel="0" collapsed="false">
      <c r="A9" s="8" t="n">
        <v>5</v>
      </c>
      <c r="B9" s="8" t="s">
        <v>48</v>
      </c>
      <c r="C9" s="8" t="n">
        <v>865</v>
      </c>
      <c r="D9" s="8" t="s">
        <v>78</v>
      </c>
      <c r="E9" s="8" t="s">
        <v>79</v>
      </c>
    </row>
    <row r="10" customFormat="false" ht="15" hidden="false" customHeight="false" outlineLevel="0" collapsed="false">
      <c r="A10" s="8" t="n">
        <v>6</v>
      </c>
      <c r="B10" s="8" t="s">
        <v>52</v>
      </c>
      <c r="C10" s="8" t="n">
        <v>735</v>
      </c>
      <c r="D10" s="8" t="s">
        <v>80</v>
      </c>
      <c r="E10" s="8"/>
    </row>
    <row r="11" customFormat="false" ht="15" hidden="false" customHeight="false" outlineLevel="0" collapsed="false">
      <c r="A11" s="8" t="n">
        <v>7</v>
      </c>
      <c r="B11" s="8" t="s">
        <v>54</v>
      </c>
      <c r="C11" s="8" t="n">
        <v>705</v>
      </c>
      <c r="D11" s="8" t="s">
        <v>81</v>
      </c>
      <c r="E11" s="8"/>
    </row>
    <row r="12" customFormat="false" ht="15" hidden="false" customHeight="false" outlineLevel="0" collapsed="false">
      <c r="A12" s="8" t="n">
        <v>8</v>
      </c>
      <c r="B12" s="8" t="s">
        <v>56</v>
      </c>
      <c r="C12" s="8" t="n">
        <v>680</v>
      </c>
      <c r="D12" s="8" t="s">
        <v>82</v>
      </c>
      <c r="E12" s="8" t="s">
        <v>83</v>
      </c>
    </row>
    <row r="13" customFormat="false" ht="15" hidden="false" customHeight="false" outlineLevel="0" collapsed="false">
      <c r="A13" s="8" t="n">
        <v>9</v>
      </c>
      <c r="B13" s="8" t="s">
        <v>58</v>
      </c>
      <c r="C13" s="8" t="n">
        <v>605</v>
      </c>
      <c r="D13" s="8" t="s">
        <v>84</v>
      </c>
      <c r="E13" s="8"/>
    </row>
    <row r="14" customFormat="false" ht="15" hidden="false" customHeight="false" outlineLevel="0" collapsed="false">
      <c r="A14" s="8" t="n">
        <v>10</v>
      </c>
      <c r="B14" s="8" t="s">
        <v>60</v>
      </c>
      <c r="C14" s="8" t="n">
        <v>601</v>
      </c>
      <c r="D14" s="8" t="s">
        <v>85</v>
      </c>
      <c r="E14" s="8"/>
    </row>
    <row r="15" customFormat="false" ht="15" hidden="false" customHeight="false" outlineLevel="0" collapsed="false">
      <c r="A15" s="8" t="s">
        <v>62</v>
      </c>
      <c r="B15" s="8" t="s">
        <v>86</v>
      </c>
      <c r="C15" s="8" t="n">
        <v>531</v>
      </c>
      <c r="D15" s="8"/>
      <c r="E15" s="8"/>
    </row>
    <row r="16" customFormat="false" ht="15" hidden="false" customHeight="false" outlineLevel="0" collapsed="false">
      <c r="A16" s="8" t="s">
        <v>62</v>
      </c>
      <c r="B16" s="8" t="s">
        <v>65</v>
      </c>
      <c r="C16" s="8" t="n">
        <v>520</v>
      </c>
      <c r="D16" s="8"/>
      <c r="E16" s="8"/>
    </row>
    <row r="17" customFormat="false" ht="15" hidden="false" customHeight="false" outlineLevel="0" collapsed="false">
      <c r="A17" s="8" t="s">
        <v>62</v>
      </c>
      <c r="B17" s="8" t="s">
        <v>87</v>
      </c>
      <c r="C17" s="8" t="n">
        <v>510</v>
      </c>
      <c r="D17" s="8"/>
      <c r="E17" s="8"/>
    </row>
    <row r="18" customFormat="false" ht="15" hidden="false" customHeight="false" outlineLevel="0" collapsed="false">
      <c r="A18" s="8" t="s">
        <v>62</v>
      </c>
      <c r="B18" s="8" t="s">
        <v>63</v>
      </c>
      <c r="C18" s="8" t="n">
        <v>507</v>
      </c>
      <c r="D18" s="8"/>
      <c r="E18" s="8"/>
    </row>
    <row r="20" customFormat="false" ht="15" hidden="false" customHeight="false" outlineLevel="0" collapsed="false">
      <c r="A20" s="9" t="s">
        <v>67</v>
      </c>
    </row>
    <row r="21" customFormat="false" ht="15" hidden="false" customHeight="false" outlineLevel="0" collapsed="false">
      <c r="A21" s="4" t="s">
        <v>88</v>
      </c>
    </row>
    <row r="22" customFormat="false" ht="15" hidden="false" customHeight="false" outlineLevel="0" collapsed="false">
      <c r="A22" s="4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90"/>
    <col collapsed="false" customWidth="true" hidden="false" outlineLevel="0" max="5" min="5" style="0" width="4"/>
  </cols>
  <sheetData>
    <row r="1" customFormat="false" ht="17.35" hidden="false" customHeight="false" outlineLevel="0" collapsed="false">
      <c r="A1" s="5" t="s">
        <v>90</v>
      </c>
    </row>
    <row r="2" customFormat="false" ht="15" hidden="false" customHeight="false" outlineLevel="0" collapsed="false">
      <c r="A2" s="6" t="s">
        <v>36</v>
      </c>
    </row>
    <row r="4" customFormat="false" ht="15" hidden="false" customHeight="false" outlineLevel="0" collapsed="false">
      <c r="A4" s="7" t="s">
        <v>37</v>
      </c>
      <c r="B4" s="7" t="s">
        <v>38</v>
      </c>
      <c r="C4" s="7" t="s">
        <v>91</v>
      </c>
      <c r="D4" s="7" t="s">
        <v>92</v>
      </c>
      <c r="E4" s="7"/>
    </row>
    <row r="5" customFormat="false" ht="26.85" hidden="false" customHeight="false" outlineLevel="0" collapsed="false">
      <c r="A5" s="8" t="n">
        <v>1</v>
      </c>
      <c r="B5" s="8" t="s">
        <v>56</v>
      </c>
      <c r="C5" s="8" t="n">
        <v>9</v>
      </c>
      <c r="D5" s="8" t="s">
        <v>93</v>
      </c>
      <c r="E5" s="8"/>
    </row>
    <row r="6" customFormat="false" ht="15" hidden="false" customHeight="false" outlineLevel="0" collapsed="false">
      <c r="A6" s="8" t="n">
        <f aca="false">2</f>
        <v>2</v>
      </c>
      <c r="B6" s="8" t="s">
        <v>87</v>
      </c>
      <c r="C6" s="8" t="n">
        <v>6</v>
      </c>
      <c r="D6" s="8" t="s">
        <v>94</v>
      </c>
      <c r="E6" s="8"/>
    </row>
    <row r="7" customFormat="false" ht="15" hidden="false" customHeight="false" outlineLevel="0" collapsed="false">
      <c r="A7" s="8" t="n">
        <f aca="false">2</f>
        <v>2</v>
      </c>
      <c r="B7" s="8" t="s">
        <v>60</v>
      </c>
      <c r="C7" s="8" t="n">
        <v>6</v>
      </c>
      <c r="D7" s="8" t="s">
        <v>95</v>
      </c>
      <c r="E7" s="8"/>
    </row>
    <row r="8" customFormat="false" ht="15" hidden="false" customHeight="false" outlineLevel="0" collapsed="false">
      <c r="A8" s="8" t="n">
        <f aca="false">4</f>
        <v>4</v>
      </c>
      <c r="B8" s="8" t="s">
        <v>50</v>
      </c>
      <c r="C8" s="8" t="n">
        <v>5</v>
      </c>
      <c r="D8" s="8" t="s">
        <v>51</v>
      </c>
      <c r="E8" s="8"/>
    </row>
    <row r="9" customFormat="false" ht="15" hidden="false" customHeight="false" outlineLevel="0" collapsed="false">
      <c r="A9" s="8" t="n">
        <f aca="false">4</f>
        <v>4</v>
      </c>
      <c r="B9" s="8" t="s">
        <v>86</v>
      </c>
      <c r="C9" s="8" t="n">
        <v>5</v>
      </c>
      <c r="D9" s="8" t="s">
        <v>96</v>
      </c>
      <c r="E9" s="8"/>
    </row>
    <row r="10" customFormat="false" ht="15" hidden="false" customHeight="false" outlineLevel="0" collapsed="false">
      <c r="A10" s="8" t="n">
        <f aca="false">4</f>
        <v>4</v>
      </c>
      <c r="B10" s="8" t="s">
        <v>97</v>
      </c>
      <c r="C10" s="8" t="n">
        <v>5</v>
      </c>
      <c r="D10" s="8" t="s">
        <v>98</v>
      </c>
      <c r="E10" s="8"/>
    </row>
    <row r="11" customFormat="false" ht="15" hidden="false" customHeight="false" outlineLevel="0" collapsed="false">
      <c r="A11" s="10" t="n">
        <f aca="false">7</f>
        <v>7</v>
      </c>
      <c r="B11" s="10" t="s">
        <v>99</v>
      </c>
      <c r="C11" s="10" t="n">
        <v>4</v>
      </c>
      <c r="D11" s="10" t="s">
        <v>100</v>
      </c>
      <c r="E11" s="10"/>
    </row>
    <row r="12" customFormat="false" ht="15" hidden="false" customHeight="false" outlineLevel="0" collapsed="false">
      <c r="A12" s="10" t="n">
        <f aca="false">7</f>
        <v>7</v>
      </c>
      <c r="B12" s="10" t="s">
        <v>58</v>
      </c>
      <c r="C12" s="10" t="n">
        <v>4</v>
      </c>
      <c r="D12" s="10" t="s">
        <v>59</v>
      </c>
      <c r="E12" s="10"/>
    </row>
    <row r="13" customFormat="false" ht="15" hidden="false" customHeight="false" outlineLevel="0" collapsed="false">
      <c r="A13" s="10" t="n">
        <f aca="false">7</f>
        <v>7</v>
      </c>
      <c r="B13" s="10" t="s">
        <v>101</v>
      </c>
      <c r="C13" s="10" t="n">
        <v>4</v>
      </c>
      <c r="D13" s="10" t="s">
        <v>102</v>
      </c>
      <c r="E13" s="10"/>
    </row>
    <row r="14" customFormat="false" ht="15" hidden="false" customHeight="false" outlineLevel="0" collapsed="false">
      <c r="A14" s="10" t="n">
        <f aca="false">7</f>
        <v>7</v>
      </c>
      <c r="B14" s="10" t="s">
        <v>103</v>
      </c>
      <c r="C14" s="10" t="n">
        <v>4</v>
      </c>
      <c r="D14" s="10" t="s">
        <v>104</v>
      </c>
      <c r="E14" s="10"/>
    </row>
    <row r="15" customFormat="false" ht="15" hidden="false" customHeight="false" outlineLevel="0" collapsed="false">
      <c r="A15" s="10" t="n">
        <f aca="false">7</f>
        <v>7</v>
      </c>
      <c r="B15" s="10" t="s">
        <v>105</v>
      </c>
      <c r="C15" s="10" t="n">
        <v>4</v>
      </c>
      <c r="D15" s="10" t="s">
        <v>106</v>
      </c>
      <c r="E15" s="10"/>
    </row>
    <row r="16" customFormat="false" ht="15" hidden="false" customHeight="false" outlineLevel="0" collapsed="false">
      <c r="A16" s="10" t="n">
        <f aca="false">7</f>
        <v>7</v>
      </c>
      <c r="B16" s="10" t="s">
        <v>107</v>
      </c>
      <c r="C16" s="10" t="n">
        <v>4</v>
      </c>
      <c r="D16" s="10" t="s">
        <v>108</v>
      </c>
      <c r="E16" s="10"/>
    </row>
    <row r="17" customFormat="false" ht="15" hidden="false" customHeight="false" outlineLevel="0" collapsed="false">
      <c r="A17" s="10" t="n">
        <f aca="false">7</f>
        <v>7</v>
      </c>
      <c r="B17" s="10" t="s">
        <v>109</v>
      </c>
      <c r="C17" s="10" t="n">
        <v>4</v>
      </c>
      <c r="D17" s="10" t="s">
        <v>110</v>
      </c>
      <c r="E17" s="10"/>
    </row>
    <row r="18" customFormat="false" ht="15" hidden="false" customHeight="false" outlineLevel="0" collapsed="false">
      <c r="A18" s="10" t="n">
        <f aca="false">7</f>
        <v>7</v>
      </c>
      <c r="B18" s="10" t="s">
        <v>111</v>
      </c>
      <c r="C18" s="10" t="n">
        <v>4</v>
      </c>
      <c r="D18" s="10" t="s">
        <v>112</v>
      </c>
      <c r="E18" s="10"/>
    </row>
    <row r="20" customFormat="false" ht="15" hidden="false" customHeight="false" outlineLevel="0" collapsed="false">
      <c r="A20" s="9" t="s">
        <v>67</v>
      </c>
    </row>
    <row r="21" customFormat="false" ht="15" hidden="false" customHeight="false" outlineLevel="0" collapsed="false">
      <c r="A21" s="4" t="s">
        <v>113</v>
      </c>
    </row>
    <row r="22" customFormat="false" ht="15" hidden="false" customHeight="false" outlineLevel="0" collapsed="false">
      <c r="A22" s="4" t="s">
        <v>114</v>
      </c>
    </row>
    <row r="23" customFormat="false" ht="15" hidden="false" customHeight="false" outlineLevel="0" collapsed="false">
      <c r="A23" s="4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90"/>
    <col collapsed="false" customWidth="true" hidden="false" outlineLevel="0" max="5" min="5" style="0" width="4"/>
  </cols>
  <sheetData>
    <row r="1" customFormat="false" ht="17.35" hidden="false" customHeight="false" outlineLevel="0" collapsed="false">
      <c r="A1" s="5" t="s">
        <v>116</v>
      </c>
    </row>
    <row r="2" customFormat="false" ht="15" hidden="false" customHeight="false" outlineLevel="0" collapsed="false">
      <c r="A2" s="6" t="s">
        <v>117</v>
      </c>
    </row>
    <row r="4" customFormat="false" ht="15" hidden="false" customHeight="false" outlineLevel="0" collapsed="false">
      <c r="A4" s="7" t="s">
        <v>37</v>
      </c>
      <c r="B4" s="7" t="s">
        <v>38</v>
      </c>
      <c r="C4" s="7" t="s">
        <v>118</v>
      </c>
      <c r="D4" s="7" t="s">
        <v>119</v>
      </c>
      <c r="E4" s="7"/>
    </row>
    <row r="5" customFormat="false" ht="26.85" hidden="false" customHeight="false" outlineLevel="0" collapsed="false">
      <c r="A5" s="8" t="n">
        <v>1</v>
      </c>
      <c r="B5" s="8" t="s">
        <v>42</v>
      </c>
      <c r="C5" s="8" t="n">
        <v>13</v>
      </c>
      <c r="D5" s="8" t="s">
        <v>120</v>
      </c>
      <c r="E5" s="8"/>
    </row>
    <row r="6" customFormat="false" ht="15" hidden="false" customHeight="false" outlineLevel="0" collapsed="false">
      <c r="A6" s="8" t="n">
        <v>2</v>
      </c>
      <c r="B6" s="8" t="s">
        <v>48</v>
      </c>
      <c r="C6" s="8" t="n">
        <v>6</v>
      </c>
      <c r="D6" s="8" t="s">
        <v>121</v>
      </c>
      <c r="E6" s="8"/>
    </row>
    <row r="7" customFormat="false" ht="15" hidden="false" customHeight="false" outlineLevel="0" collapsed="false">
      <c r="A7" s="8" t="n">
        <f aca="false">3</f>
        <v>3</v>
      </c>
      <c r="B7" s="8" t="s">
        <v>52</v>
      </c>
      <c r="C7" s="8" t="n">
        <v>3</v>
      </c>
      <c r="D7" s="8" t="s">
        <v>122</v>
      </c>
      <c r="E7" s="8"/>
    </row>
    <row r="8" customFormat="false" ht="15" hidden="false" customHeight="false" outlineLevel="0" collapsed="false">
      <c r="A8" s="8" t="n">
        <f aca="false">3</f>
        <v>3</v>
      </c>
      <c r="B8" s="8" t="s">
        <v>44</v>
      </c>
      <c r="C8" s="8" t="n">
        <v>3</v>
      </c>
      <c r="D8" s="8" t="s">
        <v>123</v>
      </c>
      <c r="E8" s="8"/>
    </row>
    <row r="9" customFormat="false" ht="15" hidden="false" customHeight="false" outlineLevel="0" collapsed="false">
      <c r="A9" s="10" t="n">
        <f aca="false">5</f>
        <v>5</v>
      </c>
      <c r="B9" s="10" t="s">
        <v>124</v>
      </c>
      <c r="C9" s="10" t="n">
        <v>1</v>
      </c>
      <c r="D9" s="10" t="s">
        <v>125</v>
      </c>
      <c r="E9" s="10"/>
    </row>
    <row r="10" customFormat="false" ht="15" hidden="false" customHeight="false" outlineLevel="0" collapsed="false">
      <c r="A10" s="10" t="n">
        <f aca="false">5</f>
        <v>5</v>
      </c>
      <c r="B10" s="10" t="s">
        <v>126</v>
      </c>
      <c r="C10" s="10" t="n">
        <v>1</v>
      </c>
      <c r="D10" s="10" t="s">
        <v>127</v>
      </c>
      <c r="E10" s="10"/>
    </row>
    <row r="11" customFormat="false" ht="15" hidden="false" customHeight="false" outlineLevel="0" collapsed="false">
      <c r="A11" s="10" t="n">
        <f aca="false">5</f>
        <v>5</v>
      </c>
      <c r="B11" s="10" t="s">
        <v>128</v>
      </c>
      <c r="C11" s="10" t="n">
        <v>1</v>
      </c>
      <c r="D11" s="10" t="s">
        <v>129</v>
      </c>
      <c r="E11" s="10"/>
    </row>
    <row r="12" customFormat="false" ht="15" hidden="false" customHeight="false" outlineLevel="0" collapsed="false">
      <c r="A12" s="10" t="n">
        <f aca="false">5</f>
        <v>5</v>
      </c>
      <c r="B12" s="10" t="s">
        <v>130</v>
      </c>
      <c r="C12" s="10" t="n">
        <v>1</v>
      </c>
      <c r="D12" s="10" t="s">
        <v>131</v>
      </c>
      <c r="E12" s="10"/>
    </row>
    <row r="13" customFormat="false" ht="15" hidden="false" customHeight="false" outlineLevel="0" collapsed="false">
      <c r="A13" s="10" t="n">
        <f aca="false">5</f>
        <v>5</v>
      </c>
      <c r="B13" s="10" t="s">
        <v>105</v>
      </c>
      <c r="C13" s="10" t="n">
        <v>1</v>
      </c>
      <c r="D13" s="10" t="s">
        <v>132</v>
      </c>
      <c r="E13" s="10"/>
    </row>
    <row r="14" customFormat="false" ht="15" hidden="false" customHeight="false" outlineLevel="0" collapsed="false">
      <c r="A14" s="10" t="n">
        <f aca="false">5</f>
        <v>5</v>
      </c>
      <c r="B14" s="10" t="s">
        <v>133</v>
      </c>
      <c r="C14" s="10" t="n">
        <v>1</v>
      </c>
      <c r="D14" s="10" t="s">
        <v>134</v>
      </c>
      <c r="E14" s="10"/>
    </row>
    <row r="15" customFormat="false" ht="15" hidden="false" customHeight="false" outlineLevel="0" collapsed="false">
      <c r="A15" s="10" t="n">
        <f aca="false">5</f>
        <v>5</v>
      </c>
      <c r="B15" s="10" t="s">
        <v>54</v>
      </c>
      <c r="C15" s="10" t="n">
        <v>1</v>
      </c>
      <c r="D15" s="10" t="s">
        <v>135</v>
      </c>
      <c r="E15" s="10"/>
    </row>
    <row r="16" customFormat="false" ht="15" hidden="false" customHeight="false" outlineLevel="0" collapsed="false">
      <c r="A16" s="10" t="n">
        <f aca="false">5</f>
        <v>5</v>
      </c>
      <c r="B16" s="10" t="s">
        <v>136</v>
      </c>
      <c r="C16" s="10" t="n">
        <v>1</v>
      </c>
      <c r="D16" s="10" t="s">
        <v>137</v>
      </c>
      <c r="E16" s="10"/>
    </row>
    <row r="17" customFormat="false" ht="15" hidden="false" customHeight="false" outlineLevel="0" collapsed="false">
      <c r="A17" s="10" t="n">
        <f aca="false">5</f>
        <v>5</v>
      </c>
      <c r="B17" s="10" t="s">
        <v>138</v>
      </c>
      <c r="C17" s="10" t="n">
        <v>1</v>
      </c>
      <c r="D17" s="10" t="s">
        <v>139</v>
      </c>
      <c r="E17" s="10"/>
    </row>
    <row r="19" customFormat="false" ht="15" hidden="false" customHeight="false" outlineLevel="0" collapsed="false">
      <c r="A19" s="9" t="s">
        <v>67</v>
      </c>
    </row>
    <row r="20" customFormat="false" ht="15" hidden="false" customHeight="false" outlineLevel="0" collapsed="false">
      <c r="A20" s="4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8"/>
    <col collapsed="false" customWidth="true" hidden="false" outlineLevel="0" max="5" min="5" style="0" width="10"/>
    <col collapsed="false" customWidth="true" hidden="false" outlineLevel="0" max="6" min="6" style="0" width="45"/>
  </cols>
  <sheetData>
    <row r="1" customFormat="false" ht="17.35" hidden="false" customHeight="false" outlineLevel="0" collapsed="false">
      <c r="A1" s="5" t="s">
        <v>141</v>
      </c>
    </row>
    <row r="2" customFormat="false" ht="15" hidden="false" customHeight="false" outlineLevel="0" collapsed="false">
      <c r="A2" s="6" t="s">
        <v>36</v>
      </c>
    </row>
    <row r="4" customFormat="false" ht="15" hidden="false" customHeight="false" outlineLevel="0" collapsed="false">
      <c r="A4" s="7" t="s">
        <v>37</v>
      </c>
      <c r="B4" s="7" t="s">
        <v>38</v>
      </c>
      <c r="C4" s="7" t="s">
        <v>39</v>
      </c>
      <c r="D4" s="7" t="s">
        <v>40</v>
      </c>
      <c r="E4" s="7" t="s">
        <v>142</v>
      </c>
      <c r="F4" s="7" t="s">
        <v>91</v>
      </c>
    </row>
    <row r="5" customFormat="false" ht="15" hidden="false" customHeight="false" outlineLevel="0" collapsed="false">
      <c r="A5" s="8" t="n">
        <v>1</v>
      </c>
      <c r="B5" s="8" t="s">
        <v>48</v>
      </c>
      <c r="C5" s="8" t="n">
        <v>269</v>
      </c>
      <c r="D5" s="8" t="n">
        <v>380</v>
      </c>
      <c r="E5" s="11" t="n">
        <f aca="false">C5/D5</f>
        <v>0.707894736842105</v>
      </c>
      <c r="F5" s="8" t="s">
        <v>143</v>
      </c>
    </row>
    <row r="6" customFormat="false" ht="15" hidden="false" customHeight="false" outlineLevel="0" collapsed="false">
      <c r="A6" s="8" t="n">
        <v>2</v>
      </c>
      <c r="B6" s="8" t="s">
        <v>42</v>
      </c>
      <c r="C6" s="8" t="n">
        <v>528</v>
      </c>
      <c r="D6" s="8" t="n">
        <v>810</v>
      </c>
      <c r="E6" s="11" t="n">
        <f aca="false">C6/D6</f>
        <v>0.651851851851852</v>
      </c>
      <c r="F6" s="8" t="s">
        <v>144</v>
      </c>
    </row>
    <row r="7" customFormat="false" ht="15" hidden="false" customHeight="false" outlineLevel="0" collapsed="false">
      <c r="A7" s="8" t="n">
        <v>3</v>
      </c>
      <c r="B7" s="8" t="s">
        <v>133</v>
      </c>
      <c r="C7" s="8" t="n">
        <v>83</v>
      </c>
      <c r="D7" s="8" t="n">
        <v>132</v>
      </c>
      <c r="E7" s="11" t="n">
        <f aca="false">C7/D7</f>
        <v>0.628787878787879</v>
      </c>
      <c r="F7" s="8" t="s">
        <v>145</v>
      </c>
    </row>
    <row r="8" customFormat="false" ht="15" hidden="false" customHeight="false" outlineLevel="0" collapsed="false">
      <c r="A8" s="8" t="n">
        <v>4</v>
      </c>
      <c r="B8" s="8" t="s">
        <v>54</v>
      </c>
      <c r="C8" s="8" t="n">
        <v>209</v>
      </c>
      <c r="D8" s="8" t="n">
        <v>334</v>
      </c>
      <c r="E8" s="11" t="n">
        <f aca="false">C8/D8</f>
        <v>0.625748502994012</v>
      </c>
      <c r="F8" s="8" t="s">
        <v>146</v>
      </c>
    </row>
    <row r="9" customFormat="false" ht="15" hidden="false" customHeight="false" outlineLevel="0" collapsed="false">
      <c r="A9" s="8" t="n">
        <v>5</v>
      </c>
      <c r="B9" s="8" t="s">
        <v>128</v>
      </c>
      <c r="C9" s="8" t="n">
        <v>83</v>
      </c>
      <c r="D9" s="8" t="n">
        <v>134</v>
      </c>
      <c r="E9" s="11" t="n">
        <f aca="false">C9/D9</f>
        <v>0.619402985074627</v>
      </c>
      <c r="F9" s="8" t="s">
        <v>143</v>
      </c>
    </row>
    <row r="10" customFormat="false" ht="15" hidden="false" customHeight="false" outlineLevel="0" collapsed="false">
      <c r="A10" s="8" t="n">
        <v>6</v>
      </c>
      <c r="B10" s="8" t="s">
        <v>63</v>
      </c>
      <c r="C10" s="8" t="n">
        <v>153</v>
      </c>
      <c r="D10" s="8" t="n">
        <v>253</v>
      </c>
      <c r="E10" s="11" t="n">
        <f aca="false">C10/D10</f>
        <v>0.604743083003953</v>
      </c>
      <c r="F10" s="8" t="s">
        <v>147</v>
      </c>
    </row>
    <row r="11" customFormat="false" ht="15" hidden="false" customHeight="false" outlineLevel="0" collapsed="false">
      <c r="A11" s="8" t="n">
        <v>7</v>
      </c>
      <c r="B11" s="8" t="s">
        <v>52</v>
      </c>
      <c r="C11" s="8" t="n">
        <v>217</v>
      </c>
      <c r="D11" s="8" t="n">
        <v>363</v>
      </c>
      <c r="E11" s="11" t="n">
        <f aca="false">C11/D11</f>
        <v>0.597796143250689</v>
      </c>
      <c r="F11" s="8" t="s">
        <v>53</v>
      </c>
    </row>
    <row r="12" customFormat="false" ht="15" hidden="false" customHeight="false" outlineLevel="0" collapsed="false">
      <c r="A12" s="8" t="n">
        <v>8</v>
      </c>
      <c r="B12" s="8" t="s">
        <v>44</v>
      </c>
      <c r="C12" s="8" t="n">
        <v>476</v>
      </c>
      <c r="D12" s="8" t="n">
        <v>828</v>
      </c>
      <c r="E12" s="11" t="n">
        <f aca="false">C12/D12</f>
        <v>0.57487922705314</v>
      </c>
      <c r="F12" s="8" t="s">
        <v>147</v>
      </c>
    </row>
    <row r="13" customFormat="false" ht="15" hidden="false" customHeight="false" outlineLevel="0" collapsed="false">
      <c r="A13" s="8" t="n">
        <v>9</v>
      </c>
      <c r="B13" s="8" t="s">
        <v>148</v>
      </c>
      <c r="C13" s="8" t="n">
        <v>35</v>
      </c>
      <c r="D13" s="8" t="n">
        <v>63</v>
      </c>
      <c r="E13" s="11" t="n">
        <f aca="false">C13/D13</f>
        <v>0.555555555555556</v>
      </c>
      <c r="F13" s="8" t="s">
        <v>149</v>
      </c>
    </row>
    <row r="14" customFormat="false" ht="15" hidden="false" customHeight="false" outlineLevel="0" collapsed="false">
      <c r="A14" s="8" t="n">
        <v>10</v>
      </c>
      <c r="B14" s="8" t="s">
        <v>136</v>
      </c>
      <c r="C14" s="8" t="n">
        <v>42</v>
      </c>
      <c r="D14" s="8" t="n">
        <v>76</v>
      </c>
      <c r="E14" s="11" t="n">
        <f aca="false">C14/D14</f>
        <v>0.552631578947369</v>
      </c>
      <c r="F14" s="8" t="s">
        <v>146</v>
      </c>
    </row>
    <row r="15" customFormat="false" ht="15" hidden="false" customHeight="false" outlineLevel="0" collapsed="false">
      <c r="A15" s="8" t="s">
        <v>62</v>
      </c>
      <c r="B15" s="8" t="s">
        <v>126</v>
      </c>
      <c r="C15" s="8" t="n">
        <v>73</v>
      </c>
      <c r="D15" s="8" t="n">
        <v>134</v>
      </c>
      <c r="E15" s="11" t="n">
        <f aca="false">C15/D15</f>
        <v>0.544776119402985</v>
      </c>
      <c r="F15" s="8" t="s">
        <v>150</v>
      </c>
    </row>
    <row r="16" customFormat="false" ht="26.85" hidden="false" customHeight="false" outlineLevel="0" collapsed="false">
      <c r="A16" s="8" t="s">
        <v>62</v>
      </c>
      <c r="B16" s="8" t="s">
        <v>151</v>
      </c>
      <c r="C16" s="8" t="n">
        <v>33</v>
      </c>
      <c r="D16" s="8" t="n">
        <v>62</v>
      </c>
      <c r="E16" s="11" t="n">
        <f aca="false">C16/D16</f>
        <v>0.532258064516129</v>
      </c>
      <c r="F16" s="8" t="s">
        <v>152</v>
      </c>
    </row>
    <row r="17" customFormat="false" ht="15" hidden="false" customHeight="false" outlineLevel="0" collapsed="false">
      <c r="A17" s="8" t="s">
        <v>62</v>
      </c>
      <c r="B17" s="8" t="s">
        <v>130</v>
      </c>
      <c r="C17" s="8" t="n">
        <v>90</v>
      </c>
      <c r="D17" s="8" t="n">
        <v>171</v>
      </c>
      <c r="E17" s="11" t="n">
        <f aca="false">C17/D17</f>
        <v>0.526315789473684</v>
      </c>
      <c r="F17" s="8" t="s">
        <v>153</v>
      </c>
    </row>
    <row r="19" customFormat="false" ht="15" hidden="false" customHeight="false" outlineLevel="0" collapsed="false">
      <c r="A19" s="9" t="s">
        <v>67</v>
      </c>
    </row>
    <row r="20" customFormat="false" ht="15" hidden="false" customHeight="false" outlineLevel="0" collapsed="false">
      <c r="A20" s="4" t="s">
        <v>154</v>
      </c>
    </row>
    <row r="21" customFormat="false" ht="15" hidden="false" customHeight="false" outlineLevel="0" collapsed="false">
      <c r="A21" s="4" t="s">
        <v>155</v>
      </c>
    </row>
    <row r="22" customFormat="false" ht="15" hidden="false" customHeight="false" outlineLevel="0" collapsed="false">
      <c r="A22" s="4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5" t="s">
        <v>157</v>
      </c>
    </row>
    <row r="2" customFormat="false" ht="15" hidden="false" customHeight="false" outlineLevel="0" collapsed="false">
      <c r="A2" s="6" t="s">
        <v>117</v>
      </c>
    </row>
    <row r="4" customFormat="false" ht="15" hidden="false" customHeight="false" outlineLevel="0" collapsed="false">
      <c r="A4" s="7" t="s">
        <v>37</v>
      </c>
      <c r="B4" s="7" t="s">
        <v>158</v>
      </c>
      <c r="C4" s="7" t="s">
        <v>159</v>
      </c>
      <c r="D4" s="7" t="s">
        <v>160</v>
      </c>
      <c r="E4" s="7" t="s">
        <v>161</v>
      </c>
    </row>
    <row r="5" customFormat="false" ht="15" hidden="false" customHeight="false" outlineLevel="0" collapsed="false">
      <c r="A5" s="8" t="n">
        <v>1</v>
      </c>
      <c r="B5" s="8" t="s">
        <v>162</v>
      </c>
      <c r="C5" s="8" t="n">
        <v>36</v>
      </c>
      <c r="D5" s="8" t="s">
        <v>163</v>
      </c>
      <c r="E5" s="8" t="s">
        <v>143</v>
      </c>
    </row>
    <row r="6" customFormat="false" ht="15" hidden="false" customHeight="false" outlineLevel="0" collapsed="false">
      <c r="A6" s="8" t="n">
        <f aca="false">2</f>
        <v>2</v>
      </c>
      <c r="B6" s="8" t="s">
        <v>164</v>
      </c>
      <c r="C6" s="8" t="n">
        <v>34</v>
      </c>
      <c r="D6" s="8" t="s">
        <v>165</v>
      </c>
      <c r="E6" s="8" t="s">
        <v>166</v>
      </c>
    </row>
    <row r="7" customFormat="false" ht="15" hidden="false" customHeight="false" outlineLevel="0" collapsed="false">
      <c r="A7" s="8" t="n">
        <f aca="false">2</f>
        <v>2</v>
      </c>
      <c r="B7" s="8" t="s">
        <v>167</v>
      </c>
      <c r="C7" s="8" t="n">
        <v>34</v>
      </c>
      <c r="D7" s="8" t="s">
        <v>168</v>
      </c>
      <c r="E7" s="8" t="s">
        <v>169</v>
      </c>
    </row>
    <row r="8" customFormat="false" ht="15" hidden="false" customHeight="false" outlineLevel="0" collapsed="false">
      <c r="A8" s="8" t="n">
        <v>4</v>
      </c>
      <c r="B8" s="8" t="s">
        <v>170</v>
      </c>
      <c r="C8" s="8" t="n">
        <v>32</v>
      </c>
      <c r="D8" s="8" t="s">
        <v>171</v>
      </c>
      <c r="E8" s="8" t="s">
        <v>146</v>
      </c>
    </row>
    <row r="9" customFormat="false" ht="15" hidden="false" customHeight="false" outlineLevel="0" collapsed="false">
      <c r="A9" s="8" t="n">
        <f aca="false">5</f>
        <v>5</v>
      </c>
      <c r="B9" s="8" t="s">
        <v>167</v>
      </c>
      <c r="C9" s="8" t="n">
        <v>31</v>
      </c>
      <c r="D9" s="8" t="s">
        <v>165</v>
      </c>
      <c r="E9" s="8" t="s">
        <v>169</v>
      </c>
    </row>
    <row r="10" customFormat="false" ht="15" hidden="false" customHeight="false" outlineLevel="0" collapsed="false">
      <c r="A10" s="8" t="n">
        <f aca="false">5</f>
        <v>5</v>
      </c>
      <c r="B10" s="8" t="s">
        <v>167</v>
      </c>
      <c r="C10" s="8" t="n">
        <v>31</v>
      </c>
      <c r="D10" s="8" t="s">
        <v>172</v>
      </c>
      <c r="E10" s="8" t="s">
        <v>173</v>
      </c>
    </row>
    <row r="11" customFormat="false" ht="15" hidden="false" customHeight="false" outlineLevel="0" collapsed="false">
      <c r="A11" s="8" t="n">
        <f aca="false">5</f>
        <v>5</v>
      </c>
      <c r="B11" s="8" t="s">
        <v>174</v>
      </c>
      <c r="C11" s="8" t="n">
        <v>31</v>
      </c>
      <c r="D11" s="8" t="s">
        <v>175</v>
      </c>
      <c r="E11" s="8" t="s">
        <v>144</v>
      </c>
    </row>
    <row r="12" customFormat="false" ht="15" hidden="false" customHeight="false" outlineLevel="0" collapsed="false">
      <c r="A12" s="8" t="n">
        <f aca="false">5</f>
        <v>5</v>
      </c>
      <c r="B12" s="8" t="s">
        <v>176</v>
      </c>
      <c r="C12" s="8" t="n">
        <v>31</v>
      </c>
      <c r="D12" s="8" t="s">
        <v>177</v>
      </c>
      <c r="E12" s="8" t="s">
        <v>146</v>
      </c>
    </row>
    <row r="13" customFormat="false" ht="15" hidden="false" customHeight="false" outlineLevel="0" collapsed="false">
      <c r="A13" s="10" t="n">
        <f aca="false">9</f>
        <v>9</v>
      </c>
      <c r="B13" s="10" t="s">
        <v>178</v>
      </c>
      <c r="C13" s="10" t="n">
        <v>30</v>
      </c>
      <c r="D13" s="10" t="s">
        <v>179</v>
      </c>
      <c r="E13" s="10" t="s">
        <v>180</v>
      </c>
    </row>
    <row r="14" customFormat="false" ht="15" hidden="false" customHeight="false" outlineLevel="0" collapsed="false">
      <c r="A14" s="10" t="n">
        <f aca="false">9</f>
        <v>9</v>
      </c>
      <c r="B14" s="10" t="s">
        <v>181</v>
      </c>
      <c r="C14" s="10" t="n">
        <v>30</v>
      </c>
      <c r="D14" s="10" t="s">
        <v>182</v>
      </c>
      <c r="E14" s="10" t="s">
        <v>147</v>
      </c>
    </row>
    <row r="15" customFormat="false" ht="15" hidden="false" customHeight="false" outlineLevel="0" collapsed="false">
      <c r="A15" s="10" t="n">
        <f aca="false">9</f>
        <v>9</v>
      </c>
      <c r="B15" s="10" t="s">
        <v>183</v>
      </c>
      <c r="C15" s="10" t="n">
        <v>30</v>
      </c>
      <c r="D15" s="10" t="s">
        <v>184</v>
      </c>
      <c r="E15" s="10" t="s">
        <v>147</v>
      </c>
    </row>
    <row r="16" customFormat="false" ht="15" hidden="false" customHeight="false" outlineLevel="0" collapsed="false">
      <c r="A16" s="10" t="n">
        <f aca="false">9</f>
        <v>9</v>
      </c>
      <c r="B16" s="10" t="s">
        <v>185</v>
      </c>
      <c r="C16" s="10" t="n">
        <v>30</v>
      </c>
      <c r="D16" s="10" t="s">
        <v>171</v>
      </c>
      <c r="E16" s="10" t="s">
        <v>186</v>
      </c>
    </row>
    <row r="17" customFormat="false" ht="15" hidden="false" customHeight="false" outlineLevel="0" collapsed="false">
      <c r="A17" s="10" t="n">
        <f aca="false">9</f>
        <v>9</v>
      </c>
      <c r="B17" s="10" t="s">
        <v>185</v>
      </c>
      <c r="C17" s="10" t="n">
        <v>30</v>
      </c>
      <c r="D17" s="10" t="s">
        <v>163</v>
      </c>
      <c r="E17" s="10" t="s">
        <v>186</v>
      </c>
    </row>
    <row r="18" customFormat="false" ht="15" hidden="false" customHeight="false" outlineLevel="0" collapsed="false">
      <c r="A18" s="8" t="s">
        <v>62</v>
      </c>
      <c r="B18" s="8" t="s">
        <v>170</v>
      </c>
      <c r="C18" s="8" t="n">
        <v>29</v>
      </c>
      <c r="D18" s="8" t="s">
        <v>187</v>
      </c>
      <c r="E18" s="8"/>
    </row>
    <row r="19" customFormat="false" ht="15" hidden="false" customHeight="false" outlineLevel="0" collapsed="false">
      <c r="A19" s="8" t="s">
        <v>62</v>
      </c>
      <c r="B19" s="8" t="s">
        <v>185</v>
      </c>
      <c r="C19" s="8" t="n">
        <v>29</v>
      </c>
      <c r="D19" s="8" t="s">
        <v>188</v>
      </c>
      <c r="E19" s="8"/>
    </row>
    <row r="20" customFormat="false" ht="15" hidden="false" customHeight="false" outlineLevel="0" collapsed="false">
      <c r="A20" s="8" t="s">
        <v>62</v>
      </c>
      <c r="B20" s="8" t="s">
        <v>189</v>
      </c>
      <c r="C20" s="8" t="n">
        <v>29</v>
      </c>
      <c r="D20" s="8" t="s">
        <v>190</v>
      </c>
      <c r="E20" s="8"/>
    </row>
    <row r="22" customFormat="false" ht="15" hidden="false" customHeight="false" outlineLevel="0" collapsed="false">
      <c r="A22" s="9" t="s">
        <v>67</v>
      </c>
    </row>
    <row r="23" customFormat="false" ht="15" hidden="false" customHeight="false" outlineLevel="0" collapsed="false">
      <c r="A23" s="4" t="s">
        <v>191</v>
      </c>
    </row>
    <row r="24" customFormat="false" ht="15" hidden="false" customHeight="false" outlineLevel="0" collapsed="false">
      <c r="A24" s="4" t="s">
        <v>192</v>
      </c>
    </row>
    <row r="25" customFormat="false" ht="15" hidden="false" customHeight="false" outlineLevel="0" collapsed="false">
      <c r="A25" s="4" t="s">
        <v>193</v>
      </c>
    </row>
    <row r="26" customFormat="false" ht="15" hidden="false" customHeight="false" outlineLevel="0" collapsed="false">
      <c r="A26" s="4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4"/>
  </cols>
  <sheetData>
    <row r="1" customFormat="false" ht="17.35" hidden="false" customHeight="false" outlineLevel="0" collapsed="false">
      <c r="A1" s="5" t="s">
        <v>195</v>
      </c>
    </row>
    <row r="2" customFormat="false" ht="15" hidden="false" customHeight="false" outlineLevel="0" collapsed="false">
      <c r="A2" s="6" t="s">
        <v>117</v>
      </c>
    </row>
    <row r="4" customFormat="false" ht="15" hidden="false" customHeight="false" outlineLevel="0" collapsed="false">
      <c r="A4" s="7" t="s">
        <v>160</v>
      </c>
      <c r="B4" s="7" t="s">
        <v>158</v>
      </c>
      <c r="C4" s="7" t="s">
        <v>196</v>
      </c>
      <c r="D4" s="7" t="s">
        <v>159</v>
      </c>
      <c r="E4" s="7"/>
    </row>
    <row r="5" customFormat="false" ht="15" hidden="false" customHeight="false" outlineLevel="0" collapsed="false">
      <c r="A5" s="8" t="s">
        <v>197</v>
      </c>
      <c r="B5" s="8" t="s">
        <v>198</v>
      </c>
      <c r="C5" s="8" t="s">
        <v>199</v>
      </c>
      <c r="D5" s="8" t="n">
        <v>22</v>
      </c>
    </row>
    <row r="6" customFormat="false" ht="15" hidden="false" customHeight="false" outlineLevel="0" collapsed="false">
      <c r="A6" s="8" t="s">
        <v>197</v>
      </c>
      <c r="B6" s="8" t="s">
        <v>200</v>
      </c>
      <c r="C6" s="8" t="s">
        <v>201</v>
      </c>
      <c r="D6" s="8" t="n">
        <v>20</v>
      </c>
    </row>
    <row r="7" customFormat="false" ht="15" hidden="false" customHeight="false" outlineLevel="0" collapsed="false">
      <c r="A7" s="8" t="s">
        <v>165</v>
      </c>
      <c r="B7" s="8" t="s">
        <v>164</v>
      </c>
      <c r="C7" s="8" t="s">
        <v>202</v>
      </c>
      <c r="D7" s="8" t="n">
        <v>34</v>
      </c>
    </row>
    <row r="8" customFormat="false" ht="15" hidden="false" customHeight="false" outlineLevel="0" collapsed="false">
      <c r="A8" s="8" t="s">
        <v>165</v>
      </c>
      <c r="B8" s="8" t="s">
        <v>167</v>
      </c>
      <c r="C8" s="8" t="s">
        <v>173</v>
      </c>
      <c r="D8" s="8" t="n">
        <v>31</v>
      </c>
    </row>
    <row r="9" customFormat="false" ht="15" hidden="false" customHeight="false" outlineLevel="0" collapsed="false">
      <c r="A9" s="8" t="s">
        <v>165</v>
      </c>
      <c r="B9" s="8" t="s">
        <v>203</v>
      </c>
      <c r="C9" s="8" t="s">
        <v>204</v>
      </c>
      <c r="D9" s="8" t="n">
        <v>25</v>
      </c>
    </row>
    <row r="10" customFormat="false" ht="15" hidden="false" customHeight="false" outlineLevel="0" collapsed="false">
      <c r="A10" s="8" t="s">
        <v>165</v>
      </c>
      <c r="B10" s="8" t="s">
        <v>205</v>
      </c>
      <c r="C10" s="8" t="s">
        <v>206</v>
      </c>
      <c r="D10" s="8" t="n">
        <v>25</v>
      </c>
    </row>
    <row r="11" customFormat="false" ht="15" hidden="false" customHeight="false" outlineLevel="0" collapsed="false">
      <c r="A11" s="8" t="s">
        <v>165</v>
      </c>
      <c r="B11" s="8" t="s">
        <v>207</v>
      </c>
      <c r="C11" s="8" t="s">
        <v>147</v>
      </c>
      <c r="D11" s="8" t="n">
        <v>23</v>
      </c>
    </row>
    <row r="12" customFormat="false" ht="15" hidden="false" customHeight="false" outlineLevel="0" collapsed="false">
      <c r="A12" s="8" t="s">
        <v>165</v>
      </c>
      <c r="B12" s="8" t="s">
        <v>208</v>
      </c>
      <c r="C12" s="8" t="s">
        <v>202</v>
      </c>
      <c r="D12" s="8" t="n">
        <v>21</v>
      </c>
    </row>
    <row r="13" customFormat="false" ht="15" hidden="false" customHeight="false" outlineLevel="0" collapsed="false">
      <c r="A13" s="8" t="s">
        <v>168</v>
      </c>
      <c r="B13" s="8" t="s">
        <v>167</v>
      </c>
      <c r="C13" s="8" t="s">
        <v>173</v>
      </c>
      <c r="D13" s="8" t="n">
        <v>34</v>
      </c>
    </row>
    <row r="14" customFormat="false" ht="15" hidden="false" customHeight="false" outlineLevel="0" collapsed="false">
      <c r="A14" s="8" t="s">
        <v>168</v>
      </c>
      <c r="B14" s="8" t="s">
        <v>209</v>
      </c>
      <c r="C14" s="8" t="s">
        <v>146</v>
      </c>
      <c r="D14" s="8" t="n">
        <v>25</v>
      </c>
    </row>
    <row r="15" customFormat="false" ht="15" hidden="false" customHeight="false" outlineLevel="0" collapsed="false">
      <c r="A15" s="8" t="s">
        <v>168</v>
      </c>
      <c r="B15" s="8" t="s">
        <v>200</v>
      </c>
      <c r="C15" s="8" t="s">
        <v>201</v>
      </c>
      <c r="D15" s="8" t="n">
        <v>24</v>
      </c>
    </row>
    <row r="16" customFormat="false" ht="15" hidden="false" customHeight="false" outlineLevel="0" collapsed="false">
      <c r="A16" s="8" t="s">
        <v>168</v>
      </c>
      <c r="B16" s="8" t="s">
        <v>210</v>
      </c>
      <c r="C16" s="8" t="s">
        <v>211</v>
      </c>
      <c r="D16" s="8" t="n">
        <v>22</v>
      </c>
    </row>
    <row r="17" customFormat="false" ht="15" hidden="false" customHeight="false" outlineLevel="0" collapsed="false">
      <c r="A17" s="8" t="s">
        <v>168</v>
      </c>
      <c r="B17" s="8" t="s">
        <v>164</v>
      </c>
      <c r="C17" s="8" t="s">
        <v>212</v>
      </c>
      <c r="D17" s="8" t="n">
        <v>21</v>
      </c>
    </row>
    <row r="18" customFormat="false" ht="15" hidden="false" customHeight="false" outlineLevel="0" collapsed="false">
      <c r="A18" s="8" t="s">
        <v>168</v>
      </c>
      <c r="B18" s="8" t="s">
        <v>213</v>
      </c>
      <c r="C18" s="8" t="s">
        <v>186</v>
      </c>
      <c r="D18" s="8" t="n">
        <v>20</v>
      </c>
    </row>
    <row r="19" customFormat="false" ht="15" hidden="false" customHeight="false" outlineLevel="0" collapsed="false">
      <c r="A19" s="8" t="s">
        <v>172</v>
      </c>
      <c r="B19" s="8" t="s">
        <v>167</v>
      </c>
      <c r="C19" s="8" t="s">
        <v>173</v>
      </c>
      <c r="D19" s="8" t="n">
        <v>31</v>
      </c>
    </row>
    <row r="20" customFormat="false" ht="15" hidden="false" customHeight="false" outlineLevel="0" collapsed="false">
      <c r="A20" s="8" t="s">
        <v>172</v>
      </c>
      <c r="B20" s="8" t="s">
        <v>209</v>
      </c>
      <c r="C20" s="8" t="s">
        <v>146</v>
      </c>
      <c r="D20" s="8" t="n">
        <v>28</v>
      </c>
    </row>
    <row r="21" customFormat="false" ht="15" hidden="false" customHeight="false" outlineLevel="0" collapsed="false">
      <c r="A21" s="8" t="s">
        <v>172</v>
      </c>
      <c r="B21" s="8" t="s">
        <v>200</v>
      </c>
      <c r="C21" s="8" t="s">
        <v>202</v>
      </c>
      <c r="D21" s="8" t="n">
        <v>25</v>
      </c>
    </row>
    <row r="22" customFormat="false" ht="15" hidden="false" customHeight="false" outlineLevel="0" collapsed="false">
      <c r="A22" s="8" t="s">
        <v>214</v>
      </c>
      <c r="B22" s="8" t="s">
        <v>167</v>
      </c>
      <c r="C22" s="8" t="s">
        <v>202</v>
      </c>
      <c r="D22" s="8" t="n">
        <v>25</v>
      </c>
    </row>
    <row r="23" customFormat="false" ht="15" hidden="false" customHeight="false" outlineLevel="0" collapsed="false">
      <c r="A23" s="8" t="s">
        <v>214</v>
      </c>
      <c r="B23" s="8" t="s">
        <v>207</v>
      </c>
      <c r="C23" s="8" t="s">
        <v>147</v>
      </c>
      <c r="D23" s="8" t="n">
        <v>23</v>
      </c>
    </row>
    <row r="24" customFormat="false" ht="15" hidden="false" customHeight="false" outlineLevel="0" collapsed="false">
      <c r="A24" s="8" t="s">
        <v>179</v>
      </c>
      <c r="B24" s="8" t="s">
        <v>178</v>
      </c>
      <c r="C24" s="8" t="s">
        <v>180</v>
      </c>
      <c r="D24" s="8" t="n">
        <v>30</v>
      </c>
    </row>
    <row r="25" customFormat="false" ht="15" hidden="false" customHeight="false" outlineLevel="0" collapsed="false">
      <c r="A25" s="8" t="s">
        <v>179</v>
      </c>
      <c r="B25" s="8" t="s">
        <v>167</v>
      </c>
      <c r="C25" s="8" t="s">
        <v>202</v>
      </c>
      <c r="D25" s="8" t="n">
        <v>23</v>
      </c>
    </row>
    <row r="26" customFormat="false" ht="15" hidden="false" customHeight="false" outlineLevel="0" collapsed="false">
      <c r="A26" s="8" t="s">
        <v>179</v>
      </c>
      <c r="B26" s="8" t="s">
        <v>215</v>
      </c>
      <c r="C26" s="8" t="s">
        <v>144</v>
      </c>
      <c r="D26" s="8" t="n">
        <v>20</v>
      </c>
    </row>
    <row r="27" customFormat="false" ht="15" hidden="false" customHeight="false" outlineLevel="0" collapsed="false">
      <c r="A27" s="8" t="s">
        <v>216</v>
      </c>
      <c r="B27" s="8" t="s">
        <v>217</v>
      </c>
      <c r="C27" s="8" t="s">
        <v>149</v>
      </c>
      <c r="D27" s="8" t="n">
        <v>23</v>
      </c>
    </row>
    <row r="28" customFormat="false" ht="15" hidden="false" customHeight="false" outlineLevel="0" collapsed="false">
      <c r="A28" s="8" t="s">
        <v>218</v>
      </c>
      <c r="B28" s="8" t="s">
        <v>181</v>
      </c>
      <c r="C28" s="8" t="s">
        <v>147</v>
      </c>
      <c r="D28" s="8" t="n">
        <v>24</v>
      </c>
    </row>
    <row r="29" customFormat="false" ht="15" hidden="false" customHeight="false" outlineLevel="0" collapsed="false">
      <c r="A29" s="8" t="s">
        <v>218</v>
      </c>
      <c r="B29" s="8" t="s">
        <v>217</v>
      </c>
      <c r="C29" s="8" t="s">
        <v>149</v>
      </c>
      <c r="D29" s="8" t="n">
        <v>23</v>
      </c>
    </row>
    <row r="30" customFormat="false" ht="15" hidden="false" customHeight="false" outlineLevel="0" collapsed="false">
      <c r="A30" s="8" t="s">
        <v>218</v>
      </c>
      <c r="B30" s="8" t="s">
        <v>219</v>
      </c>
      <c r="C30" s="8" t="s">
        <v>144</v>
      </c>
      <c r="D30" s="8" t="n">
        <v>23</v>
      </c>
    </row>
    <row r="31" customFormat="false" ht="15" hidden="false" customHeight="false" outlineLevel="0" collapsed="false">
      <c r="A31" s="8" t="s">
        <v>218</v>
      </c>
      <c r="B31" s="8" t="s">
        <v>167</v>
      </c>
      <c r="C31" s="8" t="s">
        <v>202</v>
      </c>
      <c r="D31" s="8" t="n">
        <v>23</v>
      </c>
    </row>
    <row r="32" customFormat="false" ht="15" hidden="false" customHeight="false" outlineLevel="0" collapsed="false">
      <c r="A32" s="8" t="s">
        <v>220</v>
      </c>
      <c r="B32" s="8" t="s">
        <v>219</v>
      </c>
      <c r="C32" s="8" t="s">
        <v>144</v>
      </c>
      <c r="D32" s="8" t="n">
        <v>25</v>
      </c>
    </row>
    <row r="33" customFormat="false" ht="15" hidden="false" customHeight="false" outlineLevel="0" collapsed="false">
      <c r="A33" s="8" t="s">
        <v>220</v>
      </c>
      <c r="B33" s="8" t="s">
        <v>181</v>
      </c>
      <c r="C33" s="8" t="s">
        <v>147</v>
      </c>
      <c r="D33" s="8" t="n">
        <v>24</v>
      </c>
    </row>
    <row r="34" customFormat="false" ht="15" hidden="false" customHeight="false" outlineLevel="0" collapsed="false">
      <c r="A34" s="8" t="s">
        <v>220</v>
      </c>
      <c r="B34" s="8" t="s">
        <v>221</v>
      </c>
      <c r="C34" s="8" t="s">
        <v>204</v>
      </c>
      <c r="D34" s="8" t="n">
        <v>23</v>
      </c>
    </row>
    <row r="35" customFormat="false" ht="15" hidden="false" customHeight="false" outlineLevel="0" collapsed="false">
      <c r="A35" s="8" t="s">
        <v>220</v>
      </c>
      <c r="B35" s="8" t="s">
        <v>222</v>
      </c>
      <c r="C35" s="8" t="s">
        <v>223</v>
      </c>
      <c r="D35" s="8" t="n">
        <v>20</v>
      </c>
    </row>
    <row r="36" customFormat="false" ht="15" hidden="false" customHeight="false" outlineLevel="0" collapsed="false">
      <c r="A36" s="8" t="s">
        <v>182</v>
      </c>
      <c r="B36" s="8" t="s">
        <v>181</v>
      </c>
      <c r="C36" s="8" t="s">
        <v>147</v>
      </c>
      <c r="D36" s="8" t="n">
        <v>30</v>
      </c>
    </row>
    <row r="37" customFormat="false" ht="15" hidden="false" customHeight="false" outlineLevel="0" collapsed="false">
      <c r="A37" s="8" t="s">
        <v>182</v>
      </c>
      <c r="B37" s="8" t="s">
        <v>167</v>
      </c>
      <c r="C37" s="8" t="s">
        <v>202</v>
      </c>
      <c r="D37" s="8" t="n">
        <v>22</v>
      </c>
    </row>
    <row r="38" customFormat="false" ht="15" hidden="false" customHeight="false" outlineLevel="0" collapsed="false">
      <c r="A38" s="8" t="s">
        <v>182</v>
      </c>
      <c r="B38" s="8" t="s">
        <v>224</v>
      </c>
      <c r="C38" s="8" t="s">
        <v>225</v>
      </c>
      <c r="D38" s="8" t="n">
        <v>20</v>
      </c>
    </row>
    <row r="39" customFormat="false" ht="15" hidden="false" customHeight="false" outlineLevel="0" collapsed="false">
      <c r="A39" s="8" t="s">
        <v>182</v>
      </c>
      <c r="B39" s="8" t="s">
        <v>219</v>
      </c>
      <c r="C39" s="8" t="s">
        <v>144</v>
      </c>
      <c r="D39" s="8" t="n">
        <v>20</v>
      </c>
    </row>
    <row r="40" customFormat="false" ht="15" hidden="false" customHeight="false" outlineLevel="0" collapsed="false">
      <c r="A40" s="8" t="s">
        <v>226</v>
      </c>
      <c r="B40" s="8" t="s">
        <v>181</v>
      </c>
      <c r="C40" s="8" t="s">
        <v>147</v>
      </c>
      <c r="D40" s="8" t="n">
        <v>25</v>
      </c>
    </row>
    <row r="41" customFormat="false" ht="15" hidden="false" customHeight="false" outlineLevel="0" collapsed="false">
      <c r="A41" s="8" t="s">
        <v>226</v>
      </c>
      <c r="B41" s="8" t="s">
        <v>227</v>
      </c>
      <c r="C41" s="8" t="s">
        <v>228</v>
      </c>
      <c r="D41" s="8" t="n">
        <v>21</v>
      </c>
    </row>
    <row r="42" customFormat="false" ht="15" hidden="false" customHeight="false" outlineLevel="0" collapsed="false">
      <c r="A42" s="8" t="s">
        <v>229</v>
      </c>
      <c r="B42" s="8" t="s">
        <v>181</v>
      </c>
      <c r="C42" s="8" t="s">
        <v>147</v>
      </c>
      <c r="D42" s="8" t="n">
        <v>27</v>
      </c>
    </row>
    <row r="43" customFormat="false" ht="15" hidden="false" customHeight="false" outlineLevel="0" collapsed="false">
      <c r="A43" s="8" t="s">
        <v>229</v>
      </c>
      <c r="B43" s="8" t="s">
        <v>219</v>
      </c>
      <c r="C43" s="8" t="s">
        <v>144</v>
      </c>
      <c r="D43" s="8" t="n">
        <v>21</v>
      </c>
    </row>
    <row r="44" customFormat="false" ht="15" hidden="false" customHeight="false" outlineLevel="0" collapsed="false">
      <c r="A44" s="8" t="s">
        <v>230</v>
      </c>
      <c r="B44" s="8" t="s">
        <v>189</v>
      </c>
      <c r="C44" s="8" t="s">
        <v>149</v>
      </c>
      <c r="D44" s="8" t="n">
        <v>20</v>
      </c>
    </row>
    <row r="45" customFormat="false" ht="15" hidden="false" customHeight="false" outlineLevel="0" collapsed="false">
      <c r="A45" s="8" t="s">
        <v>175</v>
      </c>
      <c r="B45" s="8" t="s">
        <v>174</v>
      </c>
      <c r="C45" s="8" t="s">
        <v>144</v>
      </c>
      <c r="D45" s="8" t="n">
        <v>31</v>
      </c>
    </row>
    <row r="46" customFormat="false" ht="15" hidden="false" customHeight="false" outlineLevel="0" collapsed="false">
      <c r="A46" s="8" t="s">
        <v>175</v>
      </c>
      <c r="B46" s="8" t="s">
        <v>231</v>
      </c>
      <c r="C46" s="8" t="s">
        <v>147</v>
      </c>
      <c r="D46" s="8" t="n">
        <v>24</v>
      </c>
    </row>
    <row r="47" customFormat="false" ht="15" hidden="false" customHeight="false" outlineLevel="0" collapsed="false">
      <c r="A47" s="8" t="s">
        <v>175</v>
      </c>
      <c r="B47" s="8" t="s">
        <v>232</v>
      </c>
      <c r="C47" s="8" t="s">
        <v>146</v>
      </c>
      <c r="D47" s="8" t="n">
        <v>24</v>
      </c>
    </row>
    <row r="48" customFormat="false" ht="15" hidden="false" customHeight="false" outlineLevel="0" collapsed="false">
      <c r="A48" s="8" t="s">
        <v>190</v>
      </c>
      <c r="B48" s="8" t="s">
        <v>189</v>
      </c>
      <c r="C48" s="8" t="s">
        <v>149</v>
      </c>
      <c r="D48" s="8" t="n">
        <v>29</v>
      </c>
    </row>
    <row r="49" customFormat="false" ht="15" hidden="false" customHeight="false" outlineLevel="0" collapsed="false">
      <c r="A49" s="8" t="s">
        <v>190</v>
      </c>
      <c r="B49" s="8" t="s">
        <v>233</v>
      </c>
      <c r="C49" s="8" t="s">
        <v>144</v>
      </c>
      <c r="D49" s="8" t="n">
        <v>26</v>
      </c>
    </row>
    <row r="50" customFormat="false" ht="15" hidden="false" customHeight="false" outlineLevel="0" collapsed="false">
      <c r="A50" s="8" t="s">
        <v>190</v>
      </c>
      <c r="B50" s="8" t="s">
        <v>234</v>
      </c>
      <c r="C50" s="8" t="s">
        <v>180</v>
      </c>
      <c r="D50" s="8" t="n">
        <v>24</v>
      </c>
    </row>
    <row r="51" customFormat="false" ht="15" hidden="false" customHeight="false" outlineLevel="0" collapsed="false">
      <c r="A51" s="8" t="s">
        <v>190</v>
      </c>
      <c r="B51" s="8" t="s">
        <v>235</v>
      </c>
      <c r="C51" s="8" t="s">
        <v>143</v>
      </c>
      <c r="D51" s="8" t="n">
        <v>23</v>
      </c>
    </row>
    <row r="52" customFormat="false" ht="15" hidden="false" customHeight="false" outlineLevel="0" collapsed="false">
      <c r="A52" s="8" t="s">
        <v>190</v>
      </c>
      <c r="B52" s="8" t="s">
        <v>236</v>
      </c>
      <c r="C52" s="8" t="s">
        <v>149</v>
      </c>
      <c r="D52" s="8" t="n">
        <v>22</v>
      </c>
    </row>
    <row r="53" customFormat="false" ht="15" hidden="false" customHeight="false" outlineLevel="0" collapsed="false">
      <c r="A53" s="8" t="s">
        <v>237</v>
      </c>
      <c r="B53" s="8" t="s">
        <v>238</v>
      </c>
      <c r="C53" s="8" t="s">
        <v>144</v>
      </c>
      <c r="D53" s="8" t="n">
        <v>20</v>
      </c>
    </row>
    <row r="54" customFormat="false" ht="15" hidden="false" customHeight="false" outlineLevel="0" collapsed="false">
      <c r="A54" s="8" t="s">
        <v>237</v>
      </c>
      <c r="B54" s="8" t="s">
        <v>235</v>
      </c>
      <c r="C54" s="8" t="s">
        <v>143</v>
      </c>
      <c r="D54" s="8" t="n">
        <v>20</v>
      </c>
    </row>
    <row r="55" customFormat="false" ht="15" hidden="false" customHeight="false" outlineLevel="0" collapsed="false">
      <c r="A55" s="8" t="s">
        <v>184</v>
      </c>
      <c r="B55" s="8" t="s">
        <v>183</v>
      </c>
      <c r="C55" s="8" t="s">
        <v>147</v>
      </c>
      <c r="D55" s="8" t="n">
        <v>30</v>
      </c>
    </row>
    <row r="56" customFormat="false" ht="15" hidden="false" customHeight="false" outlineLevel="0" collapsed="false">
      <c r="A56" s="8" t="s">
        <v>184</v>
      </c>
      <c r="B56" s="8" t="s">
        <v>233</v>
      </c>
      <c r="C56" s="8" t="s">
        <v>144</v>
      </c>
      <c r="D56" s="8" t="n">
        <v>27</v>
      </c>
    </row>
    <row r="57" customFormat="false" ht="15" hidden="false" customHeight="false" outlineLevel="0" collapsed="false">
      <c r="A57" s="8" t="s">
        <v>184</v>
      </c>
      <c r="B57" s="8" t="s">
        <v>239</v>
      </c>
      <c r="C57" s="8" t="s">
        <v>143</v>
      </c>
      <c r="D57" s="8" t="n">
        <v>23</v>
      </c>
    </row>
    <row r="58" customFormat="false" ht="15" hidden="false" customHeight="false" outlineLevel="0" collapsed="false">
      <c r="A58" s="8" t="s">
        <v>240</v>
      </c>
      <c r="B58" s="8" t="s">
        <v>183</v>
      </c>
      <c r="C58" s="8" t="s">
        <v>144</v>
      </c>
      <c r="D58" s="8" t="n">
        <v>26</v>
      </c>
    </row>
    <row r="59" customFormat="false" ht="15" hidden="false" customHeight="false" outlineLevel="0" collapsed="false">
      <c r="A59" s="8" t="s">
        <v>240</v>
      </c>
      <c r="B59" s="8" t="s">
        <v>176</v>
      </c>
      <c r="C59" s="8" t="s">
        <v>146</v>
      </c>
      <c r="D59" s="8" t="n">
        <v>23</v>
      </c>
    </row>
    <row r="60" customFormat="false" ht="15" hidden="false" customHeight="false" outlineLevel="0" collapsed="false">
      <c r="A60" s="8" t="s">
        <v>240</v>
      </c>
      <c r="B60" s="8" t="s">
        <v>241</v>
      </c>
      <c r="C60" s="8" t="s">
        <v>186</v>
      </c>
      <c r="D60" s="8" t="n">
        <v>21</v>
      </c>
    </row>
    <row r="61" customFormat="false" ht="15" hidden="false" customHeight="false" outlineLevel="0" collapsed="false">
      <c r="A61" s="8" t="s">
        <v>177</v>
      </c>
      <c r="B61" s="8" t="s">
        <v>176</v>
      </c>
      <c r="C61" s="8" t="s">
        <v>146</v>
      </c>
      <c r="D61" s="8" t="n">
        <v>31</v>
      </c>
    </row>
    <row r="62" customFormat="false" ht="15" hidden="false" customHeight="false" outlineLevel="0" collapsed="false">
      <c r="A62" s="8" t="s">
        <v>177</v>
      </c>
      <c r="B62" s="8" t="s">
        <v>242</v>
      </c>
      <c r="C62" s="8" t="s">
        <v>146</v>
      </c>
      <c r="D62" s="8" t="n">
        <v>21</v>
      </c>
    </row>
    <row r="63" customFormat="false" ht="15" hidden="false" customHeight="false" outlineLevel="0" collapsed="false">
      <c r="A63" s="8" t="s">
        <v>177</v>
      </c>
      <c r="B63" s="8" t="s">
        <v>243</v>
      </c>
      <c r="C63" s="8" t="s">
        <v>143</v>
      </c>
      <c r="D63" s="8" t="n">
        <v>20</v>
      </c>
    </row>
    <row r="64" customFormat="false" ht="15" hidden="false" customHeight="false" outlineLevel="0" collapsed="false">
      <c r="A64" s="8" t="s">
        <v>244</v>
      </c>
      <c r="B64" s="8" t="s">
        <v>239</v>
      </c>
      <c r="C64" s="8" t="s">
        <v>143</v>
      </c>
      <c r="D64" s="8" t="n">
        <v>26</v>
      </c>
    </row>
    <row r="65" customFormat="false" ht="15" hidden="false" customHeight="false" outlineLevel="0" collapsed="false">
      <c r="A65" s="8" t="s">
        <v>244</v>
      </c>
      <c r="B65" s="8" t="s">
        <v>185</v>
      </c>
      <c r="C65" s="8" t="s">
        <v>186</v>
      </c>
      <c r="D65" s="8" t="n">
        <v>21</v>
      </c>
    </row>
    <row r="66" customFormat="false" ht="15" hidden="false" customHeight="false" outlineLevel="0" collapsed="false">
      <c r="A66" s="8" t="s">
        <v>244</v>
      </c>
      <c r="B66" s="8" t="s">
        <v>245</v>
      </c>
      <c r="C66" s="8" t="s">
        <v>149</v>
      </c>
      <c r="D66" s="8" t="n">
        <v>20</v>
      </c>
    </row>
    <row r="67" customFormat="false" ht="15" hidden="false" customHeight="false" outlineLevel="0" collapsed="false">
      <c r="A67" s="8" t="s">
        <v>246</v>
      </c>
      <c r="B67" s="8" t="s">
        <v>185</v>
      </c>
      <c r="C67" s="8" t="s">
        <v>186</v>
      </c>
      <c r="D67" s="8" t="n">
        <v>25</v>
      </c>
    </row>
    <row r="68" customFormat="false" ht="15" hidden="false" customHeight="false" outlineLevel="0" collapsed="false">
      <c r="A68" s="8" t="s">
        <v>246</v>
      </c>
      <c r="B68" s="8" t="s">
        <v>239</v>
      </c>
      <c r="C68" s="8" t="s">
        <v>143</v>
      </c>
      <c r="D68" s="8" t="n">
        <v>24</v>
      </c>
    </row>
    <row r="69" customFormat="false" ht="15" hidden="false" customHeight="false" outlineLevel="0" collapsed="false">
      <c r="A69" s="8" t="s">
        <v>246</v>
      </c>
      <c r="B69" s="8" t="s">
        <v>247</v>
      </c>
      <c r="C69" s="8" t="s">
        <v>248</v>
      </c>
      <c r="D69" s="8" t="n">
        <v>24</v>
      </c>
    </row>
    <row r="70" customFormat="false" ht="15" hidden="false" customHeight="false" outlineLevel="0" collapsed="false">
      <c r="A70" s="8" t="s">
        <v>188</v>
      </c>
      <c r="B70" s="8" t="s">
        <v>185</v>
      </c>
      <c r="C70" s="8" t="s">
        <v>186</v>
      </c>
      <c r="D70" s="8" t="n">
        <v>29</v>
      </c>
    </row>
    <row r="71" customFormat="false" ht="15" hidden="false" customHeight="false" outlineLevel="0" collapsed="false">
      <c r="A71" s="8" t="s">
        <v>188</v>
      </c>
      <c r="B71" s="8" t="s">
        <v>249</v>
      </c>
      <c r="C71" s="8" t="s">
        <v>250</v>
      </c>
      <c r="D71" s="8" t="n">
        <v>25</v>
      </c>
    </row>
    <row r="72" customFormat="false" ht="15" hidden="false" customHeight="false" outlineLevel="0" collapsed="false">
      <c r="A72" s="8" t="s">
        <v>188</v>
      </c>
      <c r="B72" s="8" t="s">
        <v>251</v>
      </c>
      <c r="C72" s="8" t="s">
        <v>147</v>
      </c>
      <c r="D72" s="8" t="n">
        <v>24</v>
      </c>
    </row>
    <row r="73" customFormat="false" ht="15" hidden="false" customHeight="false" outlineLevel="0" collapsed="false">
      <c r="A73" s="8" t="s">
        <v>188</v>
      </c>
      <c r="B73" s="8" t="s">
        <v>239</v>
      </c>
      <c r="C73" s="8" t="s">
        <v>143</v>
      </c>
      <c r="D73" s="8" t="n">
        <v>20</v>
      </c>
    </row>
    <row r="74" customFormat="false" ht="15" hidden="false" customHeight="false" outlineLevel="0" collapsed="false">
      <c r="A74" s="8" t="s">
        <v>188</v>
      </c>
      <c r="B74" s="8" t="s">
        <v>245</v>
      </c>
      <c r="C74" s="8" t="s">
        <v>149</v>
      </c>
      <c r="D74" s="8" t="n">
        <v>20</v>
      </c>
    </row>
    <row r="75" customFormat="false" ht="15" hidden="false" customHeight="false" outlineLevel="0" collapsed="false">
      <c r="A75" s="8" t="s">
        <v>171</v>
      </c>
      <c r="B75" s="8" t="s">
        <v>170</v>
      </c>
      <c r="C75" s="8" t="s">
        <v>146</v>
      </c>
      <c r="D75" s="8" t="n">
        <v>32</v>
      </c>
    </row>
    <row r="76" customFormat="false" ht="15" hidden="false" customHeight="false" outlineLevel="0" collapsed="false">
      <c r="A76" s="8" t="s">
        <v>171</v>
      </c>
      <c r="B76" s="8" t="s">
        <v>185</v>
      </c>
      <c r="C76" s="8" t="s">
        <v>186</v>
      </c>
      <c r="D76" s="8" t="n">
        <v>30</v>
      </c>
    </row>
    <row r="77" customFormat="false" ht="15" hidden="false" customHeight="false" outlineLevel="0" collapsed="false">
      <c r="A77" s="8" t="s">
        <v>171</v>
      </c>
      <c r="B77" s="8" t="s">
        <v>239</v>
      </c>
      <c r="C77" s="8" t="s">
        <v>143</v>
      </c>
      <c r="D77" s="8" t="n">
        <v>21</v>
      </c>
    </row>
    <row r="78" customFormat="false" ht="15" hidden="false" customHeight="false" outlineLevel="0" collapsed="false">
      <c r="A78" s="8" t="s">
        <v>171</v>
      </c>
      <c r="B78" s="8" t="s">
        <v>247</v>
      </c>
      <c r="C78" s="8" t="s">
        <v>248</v>
      </c>
      <c r="D78" s="8" t="n">
        <v>20</v>
      </c>
    </row>
    <row r="79" customFormat="false" ht="15" hidden="false" customHeight="false" outlineLevel="0" collapsed="false">
      <c r="A79" s="8" t="s">
        <v>252</v>
      </c>
      <c r="B79" s="8" t="s">
        <v>253</v>
      </c>
      <c r="C79" s="8" t="s">
        <v>147</v>
      </c>
      <c r="D79" s="8" t="n">
        <v>22</v>
      </c>
    </row>
    <row r="80" customFormat="false" ht="15" hidden="false" customHeight="false" outlineLevel="0" collapsed="false">
      <c r="A80" s="8" t="s">
        <v>252</v>
      </c>
      <c r="B80" s="8" t="s">
        <v>254</v>
      </c>
      <c r="C80" s="8" t="s">
        <v>146</v>
      </c>
      <c r="D80" s="8" t="n">
        <v>22</v>
      </c>
    </row>
    <row r="81" customFormat="false" ht="15" hidden="false" customHeight="false" outlineLevel="0" collapsed="false">
      <c r="A81" s="8" t="s">
        <v>252</v>
      </c>
      <c r="B81" s="8" t="s">
        <v>170</v>
      </c>
      <c r="C81" s="8" t="s">
        <v>146</v>
      </c>
      <c r="D81" s="8" t="n">
        <v>22</v>
      </c>
    </row>
    <row r="82" customFormat="false" ht="15" hidden="false" customHeight="false" outlineLevel="0" collapsed="false">
      <c r="A82" s="8" t="s">
        <v>252</v>
      </c>
      <c r="B82" s="8" t="s">
        <v>239</v>
      </c>
      <c r="C82" s="8" t="s">
        <v>143</v>
      </c>
      <c r="D82" s="8" t="n">
        <v>21</v>
      </c>
    </row>
    <row r="83" customFormat="false" ht="15" hidden="false" customHeight="false" outlineLevel="0" collapsed="false">
      <c r="A83" s="8" t="s">
        <v>255</v>
      </c>
      <c r="B83" s="8" t="s">
        <v>247</v>
      </c>
      <c r="C83" s="8" t="s">
        <v>248</v>
      </c>
      <c r="D83" s="8" t="n">
        <v>23</v>
      </c>
    </row>
    <row r="84" customFormat="false" ht="15" hidden="false" customHeight="false" outlineLevel="0" collapsed="false">
      <c r="A84" s="8" t="s">
        <v>255</v>
      </c>
      <c r="B84" s="8" t="s">
        <v>253</v>
      </c>
      <c r="C84" s="8" t="s">
        <v>147</v>
      </c>
      <c r="D84" s="8" t="n">
        <v>22</v>
      </c>
    </row>
    <row r="85" customFormat="false" ht="15" hidden="false" customHeight="false" outlineLevel="0" collapsed="false">
      <c r="A85" s="8" t="s">
        <v>255</v>
      </c>
      <c r="B85" s="8" t="s">
        <v>256</v>
      </c>
      <c r="C85" s="8" t="s">
        <v>204</v>
      </c>
      <c r="D85" s="8" t="n">
        <v>22</v>
      </c>
    </row>
    <row r="86" customFormat="false" ht="15" hidden="false" customHeight="false" outlineLevel="0" collapsed="false">
      <c r="A86" s="8" t="s">
        <v>255</v>
      </c>
      <c r="B86" s="8" t="s">
        <v>257</v>
      </c>
      <c r="C86" s="8" t="s">
        <v>143</v>
      </c>
      <c r="D86" s="8" t="n">
        <v>20</v>
      </c>
    </row>
    <row r="87" customFormat="false" ht="15" hidden="false" customHeight="false" outlineLevel="0" collapsed="false">
      <c r="A87" s="8" t="s">
        <v>258</v>
      </c>
      <c r="B87" s="8" t="s">
        <v>185</v>
      </c>
      <c r="C87" s="8" t="s">
        <v>186</v>
      </c>
      <c r="D87" s="8" t="n">
        <v>23</v>
      </c>
    </row>
    <row r="88" customFormat="false" ht="15" hidden="false" customHeight="false" outlineLevel="0" collapsed="false">
      <c r="A88" s="8" t="s">
        <v>258</v>
      </c>
      <c r="B88" s="8" t="s">
        <v>170</v>
      </c>
      <c r="C88" s="8" t="s">
        <v>146</v>
      </c>
      <c r="D88" s="8" t="n">
        <v>22</v>
      </c>
    </row>
    <row r="89" customFormat="false" ht="15" hidden="false" customHeight="false" outlineLevel="0" collapsed="false">
      <c r="A89" s="8" t="s">
        <v>259</v>
      </c>
      <c r="B89" s="8" t="s">
        <v>170</v>
      </c>
      <c r="C89" s="8" t="s">
        <v>146</v>
      </c>
      <c r="D89" s="8" t="n">
        <v>23</v>
      </c>
    </row>
    <row r="90" customFormat="false" ht="15" hidden="false" customHeight="false" outlineLevel="0" collapsed="false">
      <c r="A90" s="8" t="s">
        <v>259</v>
      </c>
      <c r="B90" s="8" t="s">
        <v>260</v>
      </c>
      <c r="C90" s="8" t="s">
        <v>186</v>
      </c>
      <c r="D90" s="8" t="n">
        <v>23</v>
      </c>
    </row>
    <row r="91" customFormat="false" ht="15" hidden="false" customHeight="false" outlineLevel="0" collapsed="false">
      <c r="A91" s="8" t="s">
        <v>163</v>
      </c>
      <c r="B91" s="8" t="s">
        <v>162</v>
      </c>
      <c r="C91" s="8" t="s">
        <v>143</v>
      </c>
      <c r="D91" s="8" t="n">
        <v>36</v>
      </c>
    </row>
    <row r="92" customFormat="false" ht="15" hidden="false" customHeight="false" outlineLevel="0" collapsed="false">
      <c r="A92" s="8" t="s">
        <v>163</v>
      </c>
      <c r="B92" s="8" t="s">
        <v>185</v>
      </c>
      <c r="C92" s="8" t="s">
        <v>186</v>
      </c>
      <c r="D92" s="8" t="n">
        <v>30</v>
      </c>
    </row>
    <row r="93" customFormat="false" ht="15" hidden="false" customHeight="false" outlineLevel="0" collapsed="false">
      <c r="A93" s="8" t="s">
        <v>163</v>
      </c>
      <c r="B93" s="8" t="s">
        <v>261</v>
      </c>
      <c r="C93" s="8" t="s">
        <v>262</v>
      </c>
      <c r="D93" s="8" t="n">
        <v>20</v>
      </c>
    </row>
    <row r="94" customFormat="false" ht="15" hidden="false" customHeight="false" outlineLevel="0" collapsed="false">
      <c r="A94" s="8" t="s">
        <v>263</v>
      </c>
      <c r="B94" s="8" t="s">
        <v>162</v>
      </c>
      <c r="C94" s="8" t="s">
        <v>143</v>
      </c>
      <c r="D94" s="8" t="n">
        <v>27</v>
      </c>
    </row>
    <row r="95" customFormat="false" ht="15" hidden="false" customHeight="false" outlineLevel="0" collapsed="false">
      <c r="A95" s="8" t="s">
        <v>263</v>
      </c>
      <c r="B95" s="8" t="s">
        <v>264</v>
      </c>
      <c r="C95" s="8" t="s">
        <v>149</v>
      </c>
      <c r="D95" s="8" t="n">
        <v>22</v>
      </c>
    </row>
    <row r="96" customFormat="false" ht="15" hidden="false" customHeight="false" outlineLevel="0" collapsed="false">
      <c r="A96" s="8" t="s">
        <v>263</v>
      </c>
      <c r="B96" s="8" t="s">
        <v>265</v>
      </c>
      <c r="C96" s="8" t="s">
        <v>202</v>
      </c>
      <c r="D96" s="8" t="n">
        <v>21</v>
      </c>
    </row>
    <row r="97" customFormat="false" ht="15" hidden="false" customHeight="false" outlineLevel="0" collapsed="false">
      <c r="A97" s="8" t="s">
        <v>187</v>
      </c>
      <c r="B97" s="8" t="s">
        <v>170</v>
      </c>
      <c r="C97" s="8" t="s">
        <v>146</v>
      </c>
      <c r="D97" s="8" t="n">
        <v>29</v>
      </c>
    </row>
    <row r="98" customFormat="false" ht="15" hidden="false" customHeight="false" outlineLevel="0" collapsed="false">
      <c r="A98" s="8" t="s">
        <v>187</v>
      </c>
      <c r="B98" s="8" t="s">
        <v>265</v>
      </c>
      <c r="C98" s="8" t="s">
        <v>202</v>
      </c>
      <c r="D98" s="8" t="n">
        <v>23</v>
      </c>
    </row>
    <row r="99" customFormat="false" ht="15" hidden="false" customHeight="false" outlineLevel="0" collapsed="false">
      <c r="A99" s="8" t="s">
        <v>187</v>
      </c>
      <c r="B99" s="8" t="s">
        <v>162</v>
      </c>
      <c r="C99" s="8" t="s">
        <v>143</v>
      </c>
      <c r="D99" s="8" t="n">
        <v>22</v>
      </c>
    </row>
    <row r="100" customFormat="false" ht="15" hidden="false" customHeight="false" outlineLevel="0" collapsed="false">
      <c r="A100" s="8" t="s">
        <v>187</v>
      </c>
      <c r="B100" s="8" t="s">
        <v>266</v>
      </c>
      <c r="C100" s="8" t="s">
        <v>262</v>
      </c>
      <c r="D100" s="8" t="n">
        <v>20</v>
      </c>
    </row>
    <row r="101" customFormat="false" ht="15" hidden="false" customHeight="false" outlineLevel="0" collapsed="false">
      <c r="A101" s="8" t="s">
        <v>187</v>
      </c>
      <c r="B101" s="8" t="s">
        <v>267</v>
      </c>
      <c r="C101" s="8" t="s">
        <v>211</v>
      </c>
      <c r="D101" s="8" t="n">
        <v>20</v>
      </c>
    </row>
    <row r="102" customFormat="false" ht="15" hidden="false" customHeight="false" outlineLevel="0" collapsed="false">
      <c r="A102" s="8" t="s">
        <v>268</v>
      </c>
      <c r="B102" s="8" t="s">
        <v>162</v>
      </c>
      <c r="C102" s="8" t="s">
        <v>143</v>
      </c>
      <c r="D102" s="8" t="n">
        <v>27</v>
      </c>
    </row>
    <row r="103" customFormat="false" ht="15" hidden="false" customHeight="false" outlineLevel="0" collapsed="false">
      <c r="A103" s="8" t="s">
        <v>268</v>
      </c>
      <c r="B103" s="8" t="s">
        <v>269</v>
      </c>
      <c r="C103" s="8" t="s">
        <v>262</v>
      </c>
      <c r="D103" s="8" t="n">
        <v>22</v>
      </c>
    </row>
    <row r="105" customFormat="false" ht="15" hidden="false" customHeight="false" outlineLevel="0" collapsed="false">
      <c r="A105" s="9" t="s">
        <v>67</v>
      </c>
    </row>
    <row r="106" customFormat="false" ht="15" hidden="false" customHeight="false" outlineLevel="0" collapsed="false">
      <c r="A106" s="4" t="s">
        <v>270</v>
      </c>
    </row>
    <row r="107" customFormat="false" ht="15" hidden="false" customHeight="false" outlineLevel="0" collapsed="false">
      <c r="A107" s="4" t="s">
        <v>271</v>
      </c>
    </row>
    <row r="108" customFormat="false" ht="15" hidden="false" customHeight="false" outlineLevel="0" collapsed="false">
      <c r="A108" s="4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5" t="s">
        <v>273</v>
      </c>
    </row>
    <row r="2" customFormat="false" ht="15" hidden="false" customHeight="false" outlineLevel="0" collapsed="false">
      <c r="A2" s="6" t="s">
        <v>117</v>
      </c>
    </row>
    <row r="4" customFormat="false" ht="15" hidden="false" customHeight="false" outlineLevel="0" collapsed="false">
      <c r="A4" s="7" t="s">
        <v>274</v>
      </c>
      <c r="B4" s="7" t="s">
        <v>158</v>
      </c>
      <c r="C4" s="7" t="s">
        <v>275</v>
      </c>
      <c r="D4" s="7" t="s">
        <v>276</v>
      </c>
      <c r="E4" s="7" t="s">
        <v>277</v>
      </c>
    </row>
    <row r="5" customFormat="false" ht="15" hidden="false" customHeight="false" outlineLevel="0" collapsed="false">
      <c r="A5" s="8" t="n">
        <v>1</v>
      </c>
      <c r="B5" s="8" t="s">
        <v>167</v>
      </c>
      <c r="C5" s="8" t="n">
        <f aca="false">COUNTIF('20+ Seasons'!$B$5:$B$103,B5)</f>
        <v>7</v>
      </c>
      <c r="D5" s="8" t="n">
        <f aca="false">SUMPRODUCT(MAX(('20+ Seasons'!$B$5:$B$103=B5)*'20+ Seasons'!$D$5:$D$103))</f>
        <v>34</v>
      </c>
      <c r="E5" s="8" t="s">
        <v>278</v>
      </c>
    </row>
    <row r="6" customFormat="false" ht="15" hidden="false" customHeight="false" outlineLevel="0" collapsed="false">
      <c r="A6" s="8" t="n">
        <v>2</v>
      </c>
      <c r="B6" s="8" t="s">
        <v>239</v>
      </c>
      <c r="C6" s="8" t="n">
        <f aca="false">COUNTIF('20+ Seasons'!$B$5:$B$103,B6)</f>
        <v>6</v>
      </c>
      <c r="D6" s="8" t="n">
        <f aca="false">SUMPRODUCT(MAX(('20+ Seasons'!$B$5:$B$103=B6)*'20+ Seasons'!$D$5:$D$103))</f>
        <v>26</v>
      </c>
      <c r="E6" s="8" t="s">
        <v>279</v>
      </c>
    </row>
    <row r="7" customFormat="false" ht="15" hidden="false" customHeight="false" outlineLevel="0" collapsed="false">
      <c r="A7" s="8" t="n">
        <v>3</v>
      </c>
      <c r="B7" s="8" t="s">
        <v>185</v>
      </c>
      <c r="C7" s="8" t="n">
        <f aca="false">COUNTIF('20+ Seasons'!$B$5:$B$103,B7)</f>
        <v>6</v>
      </c>
      <c r="D7" s="8" t="n">
        <f aca="false">SUMPRODUCT(MAX(('20+ Seasons'!$B$5:$B$103=B7)*'20+ Seasons'!$D$5:$D$103))</f>
        <v>30</v>
      </c>
      <c r="E7" s="8" t="s">
        <v>280</v>
      </c>
    </row>
    <row r="8" customFormat="false" ht="15" hidden="false" customHeight="false" outlineLevel="0" collapsed="false">
      <c r="A8" s="8" t="n">
        <v>4</v>
      </c>
      <c r="B8" s="8" t="s">
        <v>181</v>
      </c>
      <c r="C8" s="8" t="n">
        <f aca="false">COUNTIF('20+ Seasons'!$B$5:$B$103,B8)</f>
        <v>5</v>
      </c>
      <c r="D8" s="8" t="n">
        <f aca="false">SUMPRODUCT(MAX(('20+ Seasons'!$B$5:$B$103=B8)*'20+ Seasons'!$D$5:$D$103))</f>
        <v>30</v>
      </c>
      <c r="E8" s="8" t="s">
        <v>281</v>
      </c>
    </row>
    <row r="9" customFormat="false" ht="15" hidden="false" customHeight="false" outlineLevel="0" collapsed="false">
      <c r="A9" s="8" t="n">
        <v>5</v>
      </c>
      <c r="B9" s="8" t="s">
        <v>170</v>
      </c>
      <c r="C9" s="8" t="n">
        <f aca="false">COUNTIF('20+ Seasons'!$B$5:$B$103,B9)</f>
        <v>5</v>
      </c>
      <c r="D9" s="8" t="n">
        <f aca="false">SUMPRODUCT(MAX(('20+ Seasons'!$B$5:$B$103=B9)*'20+ Seasons'!$D$5:$D$103))</f>
        <v>32</v>
      </c>
      <c r="E9" s="8" t="s">
        <v>282</v>
      </c>
    </row>
    <row r="10" customFormat="false" ht="15" hidden="false" customHeight="false" outlineLevel="0" collapsed="false">
      <c r="A10" s="8" t="n">
        <v>6</v>
      </c>
      <c r="B10" s="8" t="s">
        <v>219</v>
      </c>
      <c r="C10" s="8" t="n">
        <f aca="false">COUNTIF('20+ Seasons'!$B$5:$B$103,B10)</f>
        <v>4</v>
      </c>
      <c r="D10" s="8" t="n">
        <f aca="false">SUMPRODUCT(MAX(('20+ Seasons'!$B$5:$B$103=B10)*'20+ Seasons'!$D$5:$D$103))</f>
        <v>25</v>
      </c>
      <c r="E10" s="8" t="s">
        <v>283</v>
      </c>
    </row>
    <row r="11" customFormat="false" ht="15" hidden="false" customHeight="false" outlineLevel="0" collapsed="false">
      <c r="A11" s="8" t="n">
        <v>7</v>
      </c>
      <c r="B11" s="8" t="s">
        <v>162</v>
      </c>
      <c r="C11" s="8" t="n">
        <f aca="false">COUNTIF('20+ Seasons'!$B$5:$B$103,B11)</f>
        <v>4</v>
      </c>
      <c r="D11" s="8" t="n">
        <f aca="false">SUMPRODUCT(MAX(('20+ Seasons'!$B$5:$B$103=B11)*'20+ Seasons'!$D$5:$D$103))</f>
        <v>36</v>
      </c>
      <c r="E11" s="8" t="s">
        <v>284</v>
      </c>
    </row>
    <row r="12" customFormat="false" ht="15" hidden="false" customHeight="false" outlineLevel="0" collapsed="false">
      <c r="A12" s="8" t="n">
        <v>8</v>
      </c>
      <c r="B12" s="8" t="s">
        <v>200</v>
      </c>
      <c r="C12" s="8" t="n">
        <f aca="false">COUNTIF('20+ Seasons'!$B$5:$B$103,B12)</f>
        <v>3</v>
      </c>
      <c r="D12" s="8" t="n">
        <f aca="false">SUMPRODUCT(MAX(('20+ Seasons'!$B$5:$B$103=B12)*'20+ Seasons'!$D$5:$D$103))</f>
        <v>25</v>
      </c>
      <c r="E12" s="8" t="s">
        <v>285</v>
      </c>
    </row>
    <row r="13" customFormat="false" ht="15" hidden="false" customHeight="false" outlineLevel="0" collapsed="false">
      <c r="A13" s="8" t="n">
        <v>9</v>
      </c>
      <c r="B13" s="8" t="s">
        <v>247</v>
      </c>
      <c r="C13" s="8" t="n">
        <f aca="false">COUNTIF('20+ Seasons'!$B$5:$B$103,B13)</f>
        <v>3</v>
      </c>
      <c r="D13" s="8" t="n">
        <f aca="false">SUMPRODUCT(MAX(('20+ Seasons'!$B$5:$B$103=B13)*'20+ Seasons'!$D$5:$D$103))</f>
        <v>24</v>
      </c>
      <c r="E13" s="8" t="s">
        <v>286</v>
      </c>
    </row>
    <row r="14" customFormat="false" ht="15" hidden="false" customHeight="false" outlineLevel="0" collapsed="false">
      <c r="A14" s="8" t="n">
        <v>10</v>
      </c>
      <c r="B14" s="8" t="s">
        <v>164</v>
      </c>
      <c r="C14" s="8" t="n">
        <f aca="false">COUNTIF('20+ Seasons'!$B$5:$B$103,B14)</f>
        <v>2</v>
      </c>
      <c r="D14" s="8" t="n">
        <f aca="false">SUMPRODUCT(MAX(('20+ Seasons'!$B$5:$B$103=B14)*'20+ Seasons'!$D$5:$D$103))</f>
        <v>34</v>
      </c>
      <c r="E14" s="8" t="s">
        <v>287</v>
      </c>
    </row>
    <row r="15" customFormat="false" ht="15" hidden="false" customHeight="false" outlineLevel="0" collapsed="false">
      <c r="A15" s="8" t="n">
        <v>11</v>
      </c>
      <c r="B15" s="8" t="s">
        <v>207</v>
      </c>
      <c r="C15" s="8" t="n">
        <f aca="false">COUNTIF('20+ Seasons'!$B$5:$B$103,B15)</f>
        <v>2</v>
      </c>
      <c r="D15" s="8" t="n">
        <f aca="false">SUMPRODUCT(MAX(('20+ Seasons'!$B$5:$B$103=B15)*'20+ Seasons'!$D$5:$D$103))</f>
        <v>23</v>
      </c>
      <c r="E15" s="8" t="s">
        <v>288</v>
      </c>
    </row>
    <row r="16" customFormat="false" ht="15" hidden="false" customHeight="false" outlineLevel="0" collapsed="false">
      <c r="A16" s="8" t="n">
        <v>12</v>
      </c>
      <c r="B16" s="8" t="s">
        <v>209</v>
      </c>
      <c r="C16" s="8" t="n">
        <f aca="false">COUNTIF('20+ Seasons'!$B$5:$B$103,B16)</f>
        <v>2</v>
      </c>
      <c r="D16" s="8" t="n">
        <f aca="false">SUMPRODUCT(MAX(('20+ Seasons'!$B$5:$B$103=B16)*'20+ Seasons'!$D$5:$D$103))</f>
        <v>28</v>
      </c>
      <c r="E16" s="8" t="s">
        <v>289</v>
      </c>
    </row>
    <row r="17" customFormat="false" ht="15" hidden="false" customHeight="false" outlineLevel="0" collapsed="false">
      <c r="A17" s="8" t="n">
        <v>13</v>
      </c>
      <c r="B17" s="8" t="s">
        <v>217</v>
      </c>
      <c r="C17" s="8" t="n">
        <f aca="false">COUNTIF('20+ Seasons'!$B$5:$B$103,B17)</f>
        <v>2</v>
      </c>
      <c r="D17" s="8" t="n">
        <f aca="false">SUMPRODUCT(MAX(('20+ Seasons'!$B$5:$B$103=B17)*'20+ Seasons'!$D$5:$D$103))</f>
        <v>23</v>
      </c>
      <c r="E17" s="8" t="s">
        <v>290</v>
      </c>
    </row>
    <row r="18" customFormat="false" ht="15" hidden="false" customHeight="false" outlineLevel="0" collapsed="false">
      <c r="A18" s="8" t="n">
        <v>14</v>
      </c>
      <c r="B18" s="8" t="s">
        <v>189</v>
      </c>
      <c r="C18" s="8" t="n">
        <f aca="false">COUNTIF('20+ Seasons'!$B$5:$B$103,B18)</f>
        <v>2</v>
      </c>
      <c r="D18" s="8" t="n">
        <f aca="false">SUMPRODUCT(MAX(('20+ Seasons'!$B$5:$B$103=B18)*'20+ Seasons'!$D$5:$D$103))</f>
        <v>29</v>
      </c>
      <c r="E18" s="8" t="s">
        <v>291</v>
      </c>
    </row>
    <row r="19" customFormat="false" ht="15" hidden="false" customHeight="false" outlineLevel="0" collapsed="false">
      <c r="A19" s="8" t="n">
        <v>15</v>
      </c>
      <c r="B19" s="8" t="s">
        <v>233</v>
      </c>
      <c r="C19" s="8" t="n">
        <f aca="false">COUNTIF('20+ Seasons'!$B$5:$B$103,B19)</f>
        <v>2</v>
      </c>
      <c r="D19" s="8" t="n">
        <f aca="false">SUMPRODUCT(MAX(('20+ Seasons'!$B$5:$B$103=B19)*'20+ Seasons'!$D$5:$D$103))</f>
        <v>27</v>
      </c>
      <c r="E19" s="8" t="s">
        <v>292</v>
      </c>
    </row>
    <row r="20" customFormat="false" ht="15" hidden="false" customHeight="false" outlineLevel="0" collapsed="false">
      <c r="A20" s="8" t="n">
        <v>16</v>
      </c>
      <c r="B20" s="8" t="s">
        <v>235</v>
      </c>
      <c r="C20" s="8" t="n">
        <f aca="false">COUNTIF('20+ Seasons'!$B$5:$B$103,B20)</f>
        <v>2</v>
      </c>
      <c r="D20" s="8" t="n">
        <f aca="false">SUMPRODUCT(MAX(('20+ Seasons'!$B$5:$B$103=B20)*'20+ Seasons'!$D$5:$D$103))</f>
        <v>23</v>
      </c>
      <c r="E20" s="8" t="s">
        <v>293</v>
      </c>
    </row>
    <row r="21" customFormat="false" ht="15" hidden="false" customHeight="false" outlineLevel="0" collapsed="false">
      <c r="A21" s="8" t="n">
        <v>17</v>
      </c>
      <c r="B21" s="8" t="s">
        <v>183</v>
      </c>
      <c r="C21" s="8" t="n">
        <f aca="false">COUNTIF('20+ Seasons'!$B$5:$B$103,B21)</f>
        <v>2</v>
      </c>
      <c r="D21" s="8" t="n">
        <f aca="false">SUMPRODUCT(MAX(('20+ Seasons'!$B$5:$B$103=B21)*'20+ Seasons'!$D$5:$D$103))</f>
        <v>30</v>
      </c>
      <c r="E21" s="8" t="s">
        <v>294</v>
      </c>
    </row>
    <row r="22" customFormat="false" ht="15" hidden="false" customHeight="false" outlineLevel="0" collapsed="false">
      <c r="A22" s="8" t="n">
        <v>18</v>
      </c>
      <c r="B22" s="8" t="s">
        <v>176</v>
      </c>
      <c r="C22" s="8" t="n">
        <f aca="false">COUNTIF('20+ Seasons'!$B$5:$B$103,B22)</f>
        <v>2</v>
      </c>
      <c r="D22" s="8" t="n">
        <f aca="false">SUMPRODUCT(MAX(('20+ Seasons'!$B$5:$B$103=B22)*'20+ Seasons'!$D$5:$D$103))</f>
        <v>31</v>
      </c>
      <c r="E22" s="8" t="s">
        <v>295</v>
      </c>
    </row>
    <row r="23" customFormat="false" ht="15" hidden="false" customHeight="false" outlineLevel="0" collapsed="false">
      <c r="A23" s="8" t="n">
        <v>19</v>
      </c>
      <c r="B23" s="8" t="s">
        <v>245</v>
      </c>
      <c r="C23" s="8" t="n">
        <f aca="false">COUNTIF('20+ Seasons'!$B$5:$B$103,B23)</f>
        <v>2</v>
      </c>
      <c r="D23" s="8" t="n">
        <f aca="false">SUMPRODUCT(MAX(('20+ Seasons'!$B$5:$B$103=B23)*'20+ Seasons'!$D$5:$D$103))</f>
        <v>20</v>
      </c>
      <c r="E23" s="8" t="s">
        <v>296</v>
      </c>
    </row>
    <row r="24" customFormat="false" ht="15" hidden="false" customHeight="false" outlineLevel="0" collapsed="false">
      <c r="A24" s="8" t="n">
        <v>20</v>
      </c>
      <c r="B24" s="8" t="s">
        <v>253</v>
      </c>
      <c r="C24" s="8" t="n">
        <f aca="false">COUNTIF('20+ Seasons'!$B$5:$B$103,B24)</f>
        <v>2</v>
      </c>
      <c r="D24" s="8" t="n">
        <f aca="false">SUMPRODUCT(MAX(('20+ Seasons'!$B$5:$B$103=B24)*'20+ Seasons'!$D$5:$D$103))</f>
        <v>22</v>
      </c>
      <c r="E24" s="8" t="s">
        <v>297</v>
      </c>
    </row>
    <row r="25" customFormat="false" ht="15" hidden="false" customHeight="false" outlineLevel="0" collapsed="false">
      <c r="A25" s="8" t="n">
        <v>21</v>
      </c>
      <c r="B25" s="8" t="s">
        <v>265</v>
      </c>
      <c r="C25" s="8" t="n">
        <f aca="false">COUNTIF('20+ Seasons'!$B$5:$B$103,B25)</f>
        <v>2</v>
      </c>
      <c r="D25" s="8" t="n">
        <f aca="false">SUMPRODUCT(MAX(('20+ Seasons'!$B$5:$B$103=B25)*'20+ Seasons'!$D$5:$D$103))</f>
        <v>23</v>
      </c>
      <c r="E25" s="8" t="s">
        <v>298</v>
      </c>
    </row>
    <row r="26" customFormat="false" ht="15" hidden="false" customHeight="false" outlineLevel="0" collapsed="false">
      <c r="A26" s="8" t="n">
        <v>22</v>
      </c>
      <c r="B26" s="8" t="s">
        <v>198</v>
      </c>
      <c r="C26" s="8" t="n">
        <f aca="false">COUNTIF('20+ Seasons'!$B$5:$B$103,B26)</f>
        <v>1</v>
      </c>
      <c r="D26" s="8" t="n">
        <f aca="false">SUMPRODUCT(MAX(('20+ Seasons'!$B$5:$B$103=B26)*'20+ Seasons'!$D$5:$D$103))</f>
        <v>22</v>
      </c>
      <c r="E26" s="8" t="s">
        <v>299</v>
      </c>
    </row>
    <row r="27" customFormat="false" ht="15" hidden="false" customHeight="false" outlineLevel="0" collapsed="false">
      <c r="A27" s="8" t="n">
        <v>23</v>
      </c>
      <c r="B27" s="8" t="s">
        <v>203</v>
      </c>
      <c r="C27" s="8" t="n">
        <f aca="false">COUNTIF('20+ Seasons'!$B$5:$B$103,B27)</f>
        <v>1</v>
      </c>
      <c r="D27" s="8" t="n">
        <f aca="false">SUMPRODUCT(MAX(('20+ Seasons'!$B$5:$B$103=B27)*'20+ Seasons'!$D$5:$D$103))</f>
        <v>25</v>
      </c>
      <c r="E27" s="8" t="s">
        <v>300</v>
      </c>
    </row>
    <row r="28" customFormat="false" ht="15" hidden="false" customHeight="false" outlineLevel="0" collapsed="false">
      <c r="A28" s="8" t="n">
        <v>24</v>
      </c>
      <c r="B28" s="8" t="s">
        <v>205</v>
      </c>
      <c r="C28" s="8" t="n">
        <f aca="false">COUNTIF('20+ Seasons'!$B$5:$B$103,B28)</f>
        <v>1</v>
      </c>
      <c r="D28" s="8" t="n">
        <f aca="false">SUMPRODUCT(MAX(('20+ Seasons'!$B$5:$B$103=B28)*'20+ Seasons'!$D$5:$D$103))</f>
        <v>25</v>
      </c>
      <c r="E28" s="8" t="s">
        <v>300</v>
      </c>
    </row>
    <row r="29" customFormat="false" ht="15" hidden="false" customHeight="false" outlineLevel="0" collapsed="false">
      <c r="A29" s="8" t="n">
        <v>25</v>
      </c>
      <c r="B29" s="8" t="s">
        <v>208</v>
      </c>
      <c r="C29" s="8" t="n">
        <f aca="false">COUNTIF('20+ Seasons'!$B$5:$B$103,B29)</f>
        <v>1</v>
      </c>
      <c r="D29" s="8" t="n">
        <f aca="false">SUMPRODUCT(MAX(('20+ Seasons'!$B$5:$B$103=B29)*'20+ Seasons'!$D$5:$D$103))</f>
        <v>21</v>
      </c>
      <c r="E29" s="8" t="s">
        <v>301</v>
      </c>
    </row>
    <row r="30" customFormat="false" ht="15" hidden="false" customHeight="false" outlineLevel="0" collapsed="false">
      <c r="A30" s="8" t="n">
        <v>26</v>
      </c>
      <c r="B30" s="8" t="s">
        <v>210</v>
      </c>
      <c r="C30" s="8" t="n">
        <f aca="false">COUNTIF('20+ Seasons'!$B$5:$B$103,B30)</f>
        <v>1</v>
      </c>
      <c r="D30" s="8" t="n">
        <f aca="false">SUMPRODUCT(MAX(('20+ Seasons'!$B$5:$B$103=B30)*'20+ Seasons'!$D$5:$D$103))</f>
        <v>22</v>
      </c>
      <c r="E30" s="8" t="s">
        <v>302</v>
      </c>
    </row>
    <row r="31" customFormat="false" ht="15" hidden="false" customHeight="false" outlineLevel="0" collapsed="false">
      <c r="A31" s="8" t="n">
        <v>27</v>
      </c>
      <c r="B31" s="8" t="s">
        <v>213</v>
      </c>
      <c r="C31" s="8" t="n">
        <f aca="false">COUNTIF('20+ Seasons'!$B$5:$B$103,B31)</f>
        <v>1</v>
      </c>
      <c r="D31" s="8" t="n">
        <f aca="false">SUMPRODUCT(MAX(('20+ Seasons'!$B$5:$B$103=B31)*'20+ Seasons'!$D$5:$D$103))</f>
        <v>20</v>
      </c>
      <c r="E31" s="8" t="s">
        <v>303</v>
      </c>
    </row>
    <row r="32" customFormat="false" ht="15" hidden="false" customHeight="false" outlineLevel="0" collapsed="false">
      <c r="A32" s="8" t="n">
        <v>28</v>
      </c>
      <c r="B32" s="8" t="s">
        <v>178</v>
      </c>
      <c r="C32" s="8" t="n">
        <f aca="false">COUNTIF('20+ Seasons'!$B$5:$B$103,B32)</f>
        <v>1</v>
      </c>
      <c r="D32" s="8" t="n">
        <f aca="false">SUMPRODUCT(MAX(('20+ Seasons'!$B$5:$B$103=B32)*'20+ Seasons'!$D$5:$D$103))</f>
        <v>30</v>
      </c>
      <c r="E32" s="8" t="s">
        <v>304</v>
      </c>
    </row>
    <row r="33" customFormat="false" ht="15" hidden="false" customHeight="false" outlineLevel="0" collapsed="false">
      <c r="A33" s="8" t="n">
        <v>29</v>
      </c>
      <c r="B33" s="8" t="s">
        <v>215</v>
      </c>
      <c r="C33" s="8" t="n">
        <f aca="false">COUNTIF('20+ Seasons'!$B$5:$B$103,B33)</f>
        <v>1</v>
      </c>
      <c r="D33" s="8" t="n">
        <f aca="false">SUMPRODUCT(MAX(('20+ Seasons'!$B$5:$B$103=B33)*'20+ Seasons'!$D$5:$D$103))</f>
        <v>20</v>
      </c>
      <c r="E33" s="8" t="s">
        <v>305</v>
      </c>
    </row>
    <row r="34" customFormat="false" ht="15" hidden="false" customHeight="false" outlineLevel="0" collapsed="false">
      <c r="A34" s="8" t="n">
        <v>30</v>
      </c>
      <c r="B34" s="8" t="s">
        <v>221</v>
      </c>
      <c r="C34" s="8" t="n">
        <f aca="false">COUNTIF('20+ Seasons'!$B$5:$B$103,B34)</f>
        <v>1</v>
      </c>
      <c r="D34" s="8" t="n">
        <f aca="false">SUMPRODUCT(MAX(('20+ Seasons'!$B$5:$B$103=B34)*'20+ Seasons'!$D$5:$D$103))</f>
        <v>23</v>
      </c>
      <c r="E34" s="8" t="s">
        <v>306</v>
      </c>
    </row>
    <row r="35" customFormat="false" ht="15" hidden="false" customHeight="false" outlineLevel="0" collapsed="false">
      <c r="A35" s="8" t="n">
        <v>31</v>
      </c>
      <c r="B35" s="8" t="s">
        <v>222</v>
      </c>
      <c r="C35" s="8" t="n">
        <f aca="false">COUNTIF('20+ Seasons'!$B$5:$B$103,B35)</f>
        <v>1</v>
      </c>
      <c r="D35" s="8" t="n">
        <f aca="false">SUMPRODUCT(MAX(('20+ Seasons'!$B$5:$B$103=B35)*'20+ Seasons'!$D$5:$D$103))</f>
        <v>20</v>
      </c>
      <c r="E35" s="8" t="s">
        <v>307</v>
      </c>
    </row>
    <row r="36" customFormat="false" ht="15" hidden="false" customHeight="false" outlineLevel="0" collapsed="false">
      <c r="A36" s="8" t="n">
        <v>32</v>
      </c>
      <c r="B36" s="8" t="s">
        <v>224</v>
      </c>
      <c r="C36" s="8" t="n">
        <f aca="false">COUNTIF('20+ Seasons'!$B$5:$B$103,B36)</f>
        <v>1</v>
      </c>
      <c r="D36" s="8" t="n">
        <f aca="false">SUMPRODUCT(MAX(('20+ Seasons'!$B$5:$B$103=B36)*'20+ Seasons'!$D$5:$D$103))</f>
        <v>20</v>
      </c>
      <c r="E36" s="8" t="s">
        <v>308</v>
      </c>
    </row>
    <row r="37" customFormat="false" ht="15" hidden="false" customHeight="false" outlineLevel="0" collapsed="false">
      <c r="A37" s="8" t="n">
        <v>33</v>
      </c>
      <c r="B37" s="8" t="s">
        <v>227</v>
      </c>
      <c r="C37" s="8" t="n">
        <f aca="false">COUNTIF('20+ Seasons'!$B$5:$B$103,B37)</f>
        <v>1</v>
      </c>
      <c r="D37" s="8" t="n">
        <f aca="false">SUMPRODUCT(MAX(('20+ Seasons'!$B$5:$B$103=B37)*'20+ Seasons'!$D$5:$D$103))</f>
        <v>21</v>
      </c>
      <c r="E37" s="8" t="s">
        <v>309</v>
      </c>
    </row>
    <row r="38" customFormat="false" ht="15" hidden="false" customHeight="false" outlineLevel="0" collapsed="false">
      <c r="A38" s="8" t="n">
        <v>34</v>
      </c>
      <c r="B38" s="8" t="s">
        <v>174</v>
      </c>
      <c r="C38" s="8" t="n">
        <f aca="false">COUNTIF('20+ Seasons'!$B$5:$B$103,B38)</f>
        <v>1</v>
      </c>
      <c r="D38" s="8" t="n">
        <f aca="false">SUMPRODUCT(MAX(('20+ Seasons'!$B$5:$B$103=B38)*'20+ Seasons'!$D$5:$D$103))</f>
        <v>31</v>
      </c>
      <c r="E38" s="8" t="s">
        <v>310</v>
      </c>
    </row>
    <row r="39" customFormat="false" ht="15" hidden="false" customHeight="false" outlineLevel="0" collapsed="false">
      <c r="A39" s="8" t="n">
        <v>35</v>
      </c>
      <c r="B39" s="8" t="s">
        <v>231</v>
      </c>
      <c r="C39" s="8" t="n">
        <f aca="false">COUNTIF('20+ Seasons'!$B$5:$B$103,B39)</f>
        <v>1</v>
      </c>
      <c r="D39" s="8" t="n">
        <f aca="false">SUMPRODUCT(MAX(('20+ Seasons'!$B$5:$B$103=B39)*'20+ Seasons'!$D$5:$D$103))</f>
        <v>24</v>
      </c>
      <c r="E39" s="8" t="s">
        <v>311</v>
      </c>
    </row>
    <row r="40" customFormat="false" ht="15" hidden="false" customHeight="false" outlineLevel="0" collapsed="false">
      <c r="A40" s="8" t="n">
        <v>36</v>
      </c>
      <c r="B40" s="8" t="s">
        <v>232</v>
      </c>
      <c r="C40" s="8" t="n">
        <f aca="false">COUNTIF('20+ Seasons'!$B$5:$B$103,B40)</f>
        <v>1</v>
      </c>
      <c r="D40" s="8" t="n">
        <f aca="false">SUMPRODUCT(MAX(('20+ Seasons'!$B$5:$B$103=B40)*'20+ Seasons'!$D$5:$D$103))</f>
        <v>24</v>
      </c>
      <c r="E40" s="8" t="s">
        <v>311</v>
      </c>
    </row>
    <row r="41" customFormat="false" ht="15" hidden="false" customHeight="false" outlineLevel="0" collapsed="false">
      <c r="A41" s="8" t="n">
        <v>37</v>
      </c>
      <c r="B41" s="8" t="s">
        <v>234</v>
      </c>
      <c r="C41" s="8" t="n">
        <f aca="false">COUNTIF('20+ Seasons'!$B$5:$B$103,B41)</f>
        <v>1</v>
      </c>
      <c r="D41" s="8" t="n">
        <f aca="false">SUMPRODUCT(MAX(('20+ Seasons'!$B$5:$B$103=B41)*'20+ Seasons'!$D$5:$D$103))</f>
        <v>24</v>
      </c>
      <c r="E41" s="8" t="s">
        <v>312</v>
      </c>
    </row>
    <row r="42" customFormat="false" ht="15" hidden="false" customHeight="false" outlineLevel="0" collapsed="false">
      <c r="A42" s="8" t="n">
        <v>38</v>
      </c>
      <c r="B42" s="8" t="s">
        <v>236</v>
      </c>
      <c r="C42" s="8" t="n">
        <f aca="false">COUNTIF('20+ Seasons'!$B$5:$B$103,B42)</f>
        <v>1</v>
      </c>
      <c r="D42" s="8" t="n">
        <f aca="false">SUMPRODUCT(MAX(('20+ Seasons'!$B$5:$B$103=B42)*'20+ Seasons'!$D$5:$D$103))</f>
        <v>22</v>
      </c>
      <c r="E42" s="8" t="s">
        <v>313</v>
      </c>
    </row>
    <row r="43" customFormat="false" ht="15" hidden="false" customHeight="false" outlineLevel="0" collapsed="false">
      <c r="A43" s="8" t="n">
        <v>39</v>
      </c>
      <c r="B43" s="8" t="s">
        <v>238</v>
      </c>
      <c r="C43" s="8" t="n">
        <f aca="false">COUNTIF('20+ Seasons'!$B$5:$B$103,B43)</f>
        <v>1</v>
      </c>
      <c r="D43" s="8" t="n">
        <f aca="false">SUMPRODUCT(MAX(('20+ Seasons'!$B$5:$B$103=B43)*'20+ Seasons'!$D$5:$D$103))</f>
        <v>20</v>
      </c>
      <c r="E43" s="8" t="s">
        <v>314</v>
      </c>
    </row>
    <row r="44" customFormat="false" ht="15" hidden="false" customHeight="false" outlineLevel="0" collapsed="false">
      <c r="A44" s="8" t="n">
        <v>40</v>
      </c>
      <c r="B44" s="8" t="s">
        <v>241</v>
      </c>
      <c r="C44" s="8" t="n">
        <f aca="false">COUNTIF('20+ Seasons'!$B$5:$B$103,B44)</f>
        <v>1</v>
      </c>
      <c r="D44" s="8" t="n">
        <f aca="false">SUMPRODUCT(MAX(('20+ Seasons'!$B$5:$B$103=B44)*'20+ Seasons'!$D$5:$D$103))</f>
        <v>21</v>
      </c>
      <c r="E44" s="8" t="s">
        <v>315</v>
      </c>
    </row>
    <row r="45" customFormat="false" ht="15" hidden="false" customHeight="false" outlineLevel="0" collapsed="false">
      <c r="A45" s="8" t="n">
        <v>41</v>
      </c>
      <c r="B45" s="8" t="s">
        <v>242</v>
      </c>
      <c r="C45" s="8" t="n">
        <f aca="false">COUNTIF('20+ Seasons'!$B$5:$B$103,B45)</f>
        <v>1</v>
      </c>
      <c r="D45" s="8" t="n">
        <f aca="false">SUMPRODUCT(MAX(('20+ Seasons'!$B$5:$B$103=B45)*'20+ Seasons'!$D$5:$D$103))</f>
        <v>21</v>
      </c>
      <c r="E45" s="8" t="s">
        <v>316</v>
      </c>
    </row>
    <row r="46" customFormat="false" ht="15" hidden="false" customHeight="false" outlineLevel="0" collapsed="false">
      <c r="A46" s="8" t="n">
        <v>42</v>
      </c>
      <c r="B46" s="8" t="s">
        <v>243</v>
      </c>
      <c r="C46" s="8" t="n">
        <f aca="false">COUNTIF('20+ Seasons'!$B$5:$B$103,B46)</f>
        <v>1</v>
      </c>
      <c r="D46" s="8" t="n">
        <f aca="false">SUMPRODUCT(MAX(('20+ Seasons'!$B$5:$B$103=B46)*'20+ Seasons'!$D$5:$D$103))</f>
        <v>20</v>
      </c>
      <c r="E46" s="8" t="s">
        <v>317</v>
      </c>
    </row>
    <row r="47" customFormat="false" ht="15" hidden="false" customHeight="false" outlineLevel="0" collapsed="false">
      <c r="A47" s="8" t="n">
        <v>43</v>
      </c>
      <c r="B47" s="8" t="s">
        <v>249</v>
      </c>
      <c r="C47" s="8" t="n">
        <f aca="false">COUNTIF('20+ Seasons'!$B$5:$B$103,B47)</f>
        <v>1</v>
      </c>
      <c r="D47" s="8" t="n">
        <f aca="false">SUMPRODUCT(MAX(('20+ Seasons'!$B$5:$B$103=B47)*'20+ Seasons'!$D$5:$D$103))</f>
        <v>25</v>
      </c>
      <c r="E47" s="8" t="s">
        <v>318</v>
      </c>
    </row>
    <row r="48" customFormat="false" ht="15" hidden="false" customHeight="false" outlineLevel="0" collapsed="false">
      <c r="A48" s="8" t="n">
        <v>44</v>
      </c>
      <c r="B48" s="8" t="s">
        <v>251</v>
      </c>
      <c r="C48" s="8" t="n">
        <f aca="false">COUNTIF('20+ Seasons'!$B$5:$B$103,B48)</f>
        <v>1</v>
      </c>
      <c r="D48" s="8" t="n">
        <f aca="false">SUMPRODUCT(MAX(('20+ Seasons'!$B$5:$B$103=B48)*'20+ Seasons'!$D$5:$D$103))</f>
        <v>24</v>
      </c>
      <c r="E48" s="8" t="s">
        <v>319</v>
      </c>
    </row>
    <row r="49" customFormat="false" ht="15" hidden="false" customHeight="false" outlineLevel="0" collapsed="false">
      <c r="A49" s="8" t="n">
        <v>45</v>
      </c>
      <c r="B49" s="8" t="s">
        <v>254</v>
      </c>
      <c r="C49" s="8" t="n">
        <f aca="false">COUNTIF('20+ Seasons'!$B$5:$B$103,B49)</f>
        <v>1</v>
      </c>
      <c r="D49" s="8" t="n">
        <f aca="false">SUMPRODUCT(MAX(('20+ Seasons'!$B$5:$B$103=B49)*'20+ Seasons'!$D$5:$D$103))</f>
        <v>22</v>
      </c>
      <c r="E49" s="8" t="s">
        <v>320</v>
      </c>
    </row>
    <row r="50" customFormat="false" ht="15" hidden="false" customHeight="false" outlineLevel="0" collapsed="false">
      <c r="A50" s="8" t="n">
        <v>46</v>
      </c>
      <c r="B50" s="8" t="s">
        <v>256</v>
      </c>
      <c r="C50" s="8" t="n">
        <f aca="false">COUNTIF('20+ Seasons'!$B$5:$B$103,B50)</f>
        <v>1</v>
      </c>
      <c r="D50" s="8" t="n">
        <f aca="false">SUMPRODUCT(MAX(('20+ Seasons'!$B$5:$B$103=B50)*'20+ Seasons'!$D$5:$D$103))</f>
        <v>22</v>
      </c>
      <c r="E50" s="8" t="s">
        <v>321</v>
      </c>
    </row>
    <row r="51" customFormat="false" ht="15" hidden="false" customHeight="false" outlineLevel="0" collapsed="false">
      <c r="A51" s="8" t="n">
        <v>47</v>
      </c>
      <c r="B51" s="8" t="s">
        <v>257</v>
      </c>
      <c r="C51" s="8" t="n">
        <f aca="false">COUNTIF('20+ Seasons'!$B$5:$B$103,B51)</f>
        <v>1</v>
      </c>
      <c r="D51" s="8" t="n">
        <f aca="false">SUMPRODUCT(MAX(('20+ Seasons'!$B$5:$B$103=B51)*'20+ Seasons'!$D$5:$D$103))</f>
        <v>20</v>
      </c>
      <c r="E51" s="8" t="s">
        <v>322</v>
      </c>
    </row>
    <row r="52" customFormat="false" ht="15" hidden="false" customHeight="false" outlineLevel="0" collapsed="false">
      <c r="A52" s="8" t="n">
        <v>48</v>
      </c>
      <c r="B52" s="8" t="s">
        <v>260</v>
      </c>
      <c r="C52" s="8" t="n">
        <f aca="false">COUNTIF('20+ Seasons'!$B$5:$B$103,B52)</f>
        <v>1</v>
      </c>
      <c r="D52" s="8" t="n">
        <f aca="false">SUMPRODUCT(MAX(('20+ Seasons'!$B$5:$B$103=B52)*'20+ Seasons'!$D$5:$D$103))</f>
        <v>23</v>
      </c>
      <c r="E52" s="8" t="s">
        <v>323</v>
      </c>
    </row>
    <row r="53" customFormat="false" ht="15" hidden="false" customHeight="false" outlineLevel="0" collapsed="false">
      <c r="A53" s="8" t="n">
        <v>49</v>
      </c>
      <c r="B53" s="8" t="s">
        <v>261</v>
      </c>
      <c r="C53" s="8" t="n">
        <f aca="false">COUNTIF('20+ Seasons'!$B$5:$B$103,B53)</f>
        <v>1</v>
      </c>
      <c r="D53" s="8" t="n">
        <f aca="false">SUMPRODUCT(MAX(('20+ Seasons'!$B$5:$B$103=B53)*'20+ Seasons'!$D$5:$D$103))</f>
        <v>20</v>
      </c>
      <c r="E53" s="8" t="s">
        <v>324</v>
      </c>
    </row>
    <row r="54" customFormat="false" ht="15" hidden="false" customHeight="false" outlineLevel="0" collapsed="false">
      <c r="A54" s="8" t="n">
        <v>50</v>
      </c>
      <c r="B54" s="8" t="s">
        <v>264</v>
      </c>
      <c r="C54" s="8" t="n">
        <f aca="false">COUNTIF('20+ Seasons'!$B$5:$B$103,B54)</f>
        <v>1</v>
      </c>
      <c r="D54" s="8" t="n">
        <f aca="false">SUMPRODUCT(MAX(('20+ Seasons'!$B$5:$B$103=B54)*'20+ Seasons'!$D$5:$D$103))</f>
        <v>22</v>
      </c>
      <c r="E54" s="8" t="s">
        <v>325</v>
      </c>
    </row>
    <row r="55" customFormat="false" ht="15" hidden="false" customHeight="false" outlineLevel="0" collapsed="false">
      <c r="A55" s="8" t="n">
        <v>51</v>
      </c>
      <c r="B55" s="8" t="s">
        <v>266</v>
      </c>
      <c r="C55" s="8" t="n">
        <f aca="false">COUNTIF('20+ Seasons'!$B$5:$B$103,B55)</f>
        <v>1</v>
      </c>
      <c r="D55" s="8" t="n">
        <f aca="false">SUMPRODUCT(MAX(('20+ Seasons'!$B$5:$B$103=B55)*'20+ Seasons'!$D$5:$D$103))</f>
        <v>20</v>
      </c>
      <c r="E55" s="8" t="s">
        <v>326</v>
      </c>
    </row>
    <row r="56" customFormat="false" ht="15" hidden="false" customHeight="false" outlineLevel="0" collapsed="false">
      <c r="A56" s="8" t="n">
        <v>52</v>
      </c>
      <c r="B56" s="8" t="s">
        <v>267</v>
      </c>
      <c r="C56" s="8" t="n">
        <f aca="false">COUNTIF('20+ Seasons'!$B$5:$B$103,B56)</f>
        <v>1</v>
      </c>
      <c r="D56" s="8" t="n">
        <f aca="false">SUMPRODUCT(MAX(('20+ Seasons'!$B$5:$B$103=B56)*'20+ Seasons'!$D$5:$D$103))</f>
        <v>20</v>
      </c>
      <c r="E56" s="8" t="s">
        <v>326</v>
      </c>
    </row>
    <row r="57" customFormat="false" ht="15" hidden="false" customHeight="false" outlineLevel="0" collapsed="false">
      <c r="A57" s="8" t="n">
        <v>53</v>
      </c>
      <c r="B57" s="8" t="s">
        <v>269</v>
      </c>
      <c r="C57" s="8" t="n">
        <f aca="false">COUNTIF('20+ Seasons'!$B$5:$B$103,B57)</f>
        <v>1</v>
      </c>
      <c r="D57" s="8" t="n">
        <f aca="false">SUMPRODUCT(MAX(('20+ Seasons'!$B$5:$B$103=B57)*'20+ Seasons'!$D$5:$D$103))</f>
        <v>22</v>
      </c>
      <c r="E57" s="8" t="s">
        <v>327</v>
      </c>
    </row>
    <row r="59" customFormat="false" ht="15" hidden="false" customHeight="false" outlineLevel="0" collapsed="false">
      <c r="A59" s="9" t="s">
        <v>67</v>
      </c>
    </row>
    <row r="60" customFormat="false" ht="15" hidden="false" customHeight="false" outlineLevel="0" collapsed="false">
      <c r="A60" s="4" t="s">
        <v>328</v>
      </c>
    </row>
    <row r="61" customFormat="false" ht="15" hidden="false" customHeight="false" outlineLevel="0" collapsed="false">
      <c r="A61" s="4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" min="3" style="0" width="9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5" t="s">
        <v>330</v>
      </c>
    </row>
    <row r="2" customFormat="false" ht="15" hidden="false" customHeight="false" outlineLevel="0" collapsed="false">
      <c r="A2" s="6" t="s">
        <v>36</v>
      </c>
    </row>
    <row r="4" customFormat="false" ht="15" hidden="false" customHeight="false" outlineLevel="0" collapsed="false">
      <c r="A4" s="7" t="s">
        <v>37</v>
      </c>
      <c r="B4" s="7" t="s">
        <v>158</v>
      </c>
      <c r="C4" s="7" t="s">
        <v>331</v>
      </c>
      <c r="D4" s="7" t="s">
        <v>332</v>
      </c>
      <c r="E4" s="7" t="s">
        <v>333</v>
      </c>
    </row>
    <row r="5" customFormat="false" ht="26.85" hidden="false" customHeight="false" outlineLevel="0" collapsed="false">
      <c r="A5" s="8" t="n">
        <v>1</v>
      </c>
      <c r="B5" s="8" t="s">
        <v>334</v>
      </c>
      <c r="C5" s="8" t="n">
        <v>24</v>
      </c>
      <c r="D5" s="8" t="n">
        <v>658</v>
      </c>
      <c r="E5" s="8" t="s">
        <v>335</v>
      </c>
    </row>
    <row r="6" customFormat="false" ht="15" hidden="false" customHeight="false" outlineLevel="0" collapsed="false">
      <c r="A6" s="8" t="n">
        <v>2</v>
      </c>
      <c r="B6" s="8" t="s">
        <v>336</v>
      </c>
      <c r="C6" s="8" t="n">
        <v>22</v>
      </c>
      <c r="D6" s="8" t="n">
        <v>632</v>
      </c>
      <c r="E6" s="8" t="s">
        <v>337</v>
      </c>
    </row>
    <row r="7" customFormat="false" ht="15" hidden="false" customHeight="false" outlineLevel="0" collapsed="false">
      <c r="A7" s="8" t="n">
        <v>3</v>
      </c>
      <c r="B7" s="8" t="s">
        <v>338</v>
      </c>
      <c r="C7" s="8" t="n">
        <v>21</v>
      </c>
      <c r="D7" s="8" t="n">
        <v>653</v>
      </c>
      <c r="E7" s="8" t="s">
        <v>339</v>
      </c>
    </row>
    <row r="8" customFormat="false" ht="15" hidden="false" customHeight="false" outlineLevel="0" collapsed="false">
      <c r="A8" s="8" t="n">
        <f aca="false">4</f>
        <v>4</v>
      </c>
      <c r="B8" s="8" t="s">
        <v>236</v>
      </c>
      <c r="C8" s="8" t="n">
        <v>20</v>
      </c>
      <c r="D8" s="8" t="n">
        <v>609</v>
      </c>
      <c r="E8" s="8" t="s">
        <v>340</v>
      </c>
    </row>
    <row r="9" customFormat="false" ht="15" hidden="false" customHeight="false" outlineLevel="0" collapsed="false">
      <c r="A9" s="8" t="n">
        <f aca="false">4</f>
        <v>4</v>
      </c>
      <c r="B9" s="8" t="s">
        <v>341</v>
      </c>
      <c r="C9" s="8" t="n">
        <v>20</v>
      </c>
      <c r="D9" s="8" t="n">
        <v>504</v>
      </c>
      <c r="E9" s="8" t="s">
        <v>342</v>
      </c>
    </row>
    <row r="10" customFormat="false" ht="26.85" hidden="false" customHeight="false" outlineLevel="0" collapsed="false">
      <c r="A10" s="10" t="n">
        <f aca="false">6</f>
        <v>6</v>
      </c>
      <c r="B10" s="10" t="s">
        <v>343</v>
      </c>
      <c r="C10" s="10" t="n">
        <v>19</v>
      </c>
      <c r="D10" s="10" t="n">
        <v>403</v>
      </c>
      <c r="E10" s="10" t="s">
        <v>344</v>
      </c>
    </row>
    <row r="11" customFormat="false" ht="15" hidden="false" customHeight="false" outlineLevel="0" collapsed="false">
      <c r="A11" s="10" t="n">
        <f aca="false">6</f>
        <v>6</v>
      </c>
      <c r="B11" s="10" t="s">
        <v>345</v>
      </c>
      <c r="C11" s="10" t="n">
        <v>19</v>
      </c>
      <c r="D11" s="10" t="n">
        <v>496</v>
      </c>
      <c r="E11" s="10" t="s">
        <v>346</v>
      </c>
    </row>
    <row r="12" customFormat="false" ht="15" hidden="false" customHeight="false" outlineLevel="0" collapsed="false">
      <c r="A12" s="10" t="n">
        <f aca="false">6</f>
        <v>6</v>
      </c>
      <c r="B12" s="10" t="s">
        <v>347</v>
      </c>
      <c r="C12" s="10" t="n">
        <v>19</v>
      </c>
      <c r="D12" s="10" t="n">
        <v>492</v>
      </c>
      <c r="E12" s="10" t="s">
        <v>348</v>
      </c>
    </row>
    <row r="13" customFormat="false" ht="15" hidden="false" customHeight="false" outlineLevel="0" collapsed="false">
      <c r="A13" s="10" t="n">
        <f aca="false">6</f>
        <v>6</v>
      </c>
      <c r="B13" s="10" t="s">
        <v>349</v>
      </c>
      <c r="C13" s="10" t="n">
        <v>19</v>
      </c>
      <c r="D13" s="10" t="n">
        <v>499</v>
      </c>
      <c r="E13" s="10" t="s">
        <v>350</v>
      </c>
    </row>
    <row r="14" customFormat="false" ht="15" hidden="false" customHeight="false" outlineLevel="0" collapsed="false">
      <c r="A14" s="10" t="n">
        <f aca="false">6</f>
        <v>6</v>
      </c>
      <c r="B14" s="10" t="s">
        <v>351</v>
      </c>
      <c r="C14" s="10" t="n">
        <v>19</v>
      </c>
      <c r="D14" s="10" t="n">
        <v>505</v>
      </c>
      <c r="E14" s="10" t="s">
        <v>352</v>
      </c>
    </row>
    <row r="15" customFormat="false" ht="15" hidden="false" customHeight="false" outlineLevel="0" collapsed="false">
      <c r="A15" s="10" t="n">
        <f aca="false">6</f>
        <v>6</v>
      </c>
      <c r="B15" s="10" t="s">
        <v>353</v>
      </c>
      <c r="C15" s="10" t="n">
        <v>19</v>
      </c>
      <c r="D15" s="10" t="n">
        <v>503</v>
      </c>
      <c r="E15" s="10" t="s">
        <v>354</v>
      </c>
    </row>
    <row r="16" customFormat="false" ht="15" hidden="false" customHeight="false" outlineLevel="0" collapsed="false">
      <c r="A16" s="10" t="n">
        <f aca="false">6</f>
        <v>6</v>
      </c>
      <c r="B16" s="10" t="s">
        <v>355</v>
      </c>
      <c r="C16" s="10" t="n">
        <v>19</v>
      </c>
      <c r="D16" s="10" t="n">
        <v>451</v>
      </c>
      <c r="E16" s="10" t="s">
        <v>356</v>
      </c>
    </row>
    <row r="17" customFormat="false" ht="15" hidden="false" customHeight="false" outlineLevel="0" collapsed="false">
      <c r="A17" s="8" t="s">
        <v>62</v>
      </c>
      <c r="B17" s="8" t="s">
        <v>357</v>
      </c>
      <c r="C17" s="8" t="n">
        <v>18</v>
      </c>
      <c r="D17" s="8" t="n">
        <v>386</v>
      </c>
      <c r="E17" s="8"/>
    </row>
    <row r="18" customFormat="false" ht="15" hidden="false" customHeight="false" outlineLevel="0" collapsed="false">
      <c r="A18" s="8" t="s">
        <v>62</v>
      </c>
      <c r="B18" s="8" t="s">
        <v>358</v>
      </c>
      <c r="C18" s="8" t="n">
        <v>18</v>
      </c>
      <c r="D18" s="8" t="n">
        <v>485</v>
      </c>
      <c r="E18" s="8"/>
    </row>
    <row r="19" customFormat="false" ht="15" hidden="false" customHeight="false" outlineLevel="0" collapsed="false">
      <c r="A19" s="8" t="s">
        <v>62</v>
      </c>
      <c r="B19" s="8" t="s">
        <v>359</v>
      </c>
      <c r="C19" s="8" t="n">
        <v>18</v>
      </c>
      <c r="D19" s="8" t="n">
        <v>468</v>
      </c>
      <c r="E19" s="8"/>
    </row>
    <row r="20" customFormat="false" ht="15" hidden="false" customHeight="false" outlineLevel="0" collapsed="false">
      <c r="A20" s="8" t="s">
        <v>62</v>
      </c>
      <c r="B20" s="8" t="s">
        <v>360</v>
      </c>
      <c r="C20" s="8" t="n">
        <v>18</v>
      </c>
      <c r="D20" s="8" t="n">
        <v>481</v>
      </c>
      <c r="E20" s="8"/>
    </row>
    <row r="21" customFormat="false" ht="15" hidden="false" customHeight="false" outlineLevel="0" collapsed="false">
      <c r="A21" s="8" t="s">
        <v>62</v>
      </c>
      <c r="B21" s="8" t="s">
        <v>361</v>
      </c>
      <c r="C21" s="8" t="n">
        <v>18</v>
      </c>
      <c r="D21" s="8" t="n">
        <v>514</v>
      </c>
      <c r="E21" s="8"/>
    </row>
    <row r="22" customFormat="false" ht="15" hidden="false" customHeight="false" outlineLevel="0" collapsed="false">
      <c r="A22" s="8" t="s">
        <v>62</v>
      </c>
      <c r="B22" s="8" t="s">
        <v>362</v>
      </c>
      <c r="C22" s="8" t="n">
        <v>18</v>
      </c>
      <c r="D22" s="8" t="n">
        <v>572</v>
      </c>
      <c r="E22" s="8"/>
    </row>
    <row r="24" customFormat="false" ht="15" hidden="false" customHeight="false" outlineLevel="0" collapsed="false">
      <c r="A24" s="9" t="s">
        <v>67</v>
      </c>
    </row>
    <row r="25" customFormat="false" ht="15" hidden="false" customHeight="false" outlineLevel="0" collapsed="false">
      <c r="A25" s="4" t="s">
        <v>363</v>
      </c>
    </row>
    <row r="26" customFormat="false" ht="15" hidden="false" customHeight="false" outlineLevel="0" collapsed="false">
      <c r="A26" s="4" t="s">
        <v>364</v>
      </c>
    </row>
    <row r="27" customFormat="false" ht="15" hidden="false" customHeight="false" outlineLevel="0" collapsed="false">
      <c r="A27" s="4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5" t="s">
        <v>366</v>
      </c>
    </row>
    <row r="2" customFormat="false" ht="15" hidden="false" customHeight="false" outlineLevel="0" collapsed="false">
      <c r="A2" s="6" t="s">
        <v>367</v>
      </c>
    </row>
    <row r="4" customFormat="false" ht="15" hidden="false" customHeight="false" outlineLevel="0" collapsed="false">
      <c r="A4" s="7" t="s">
        <v>37</v>
      </c>
      <c r="B4" s="7" t="s">
        <v>158</v>
      </c>
      <c r="C4" s="7" t="s">
        <v>368</v>
      </c>
      <c r="D4" s="7" t="s">
        <v>369</v>
      </c>
      <c r="E4" s="7" t="s">
        <v>370</v>
      </c>
    </row>
    <row r="5" customFormat="false" ht="15" hidden="false" customHeight="false" outlineLevel="0" collapsed="false">
      <c r="A5" s="8" t="n">
        <f aca="false">1</f>
        <v>1</v>
      </c>
      <c r="B5" s="8" t="s">
        <v>265</v>
      </c>
      <c r="C5" s="8" t="n">
        <v>125</v>
      </c>
      <c r="D5" s="8" t="s">
        <v>371</v>
      </c>
      <c r="E5" s="8" t="s">
        <v>372</v>
      </c>
    </row>
    <row r="6" customFormat="false" ht="15" hidden="false" customHeight="false" outlineLevel="0" collapsed="false">
      <c r="A6" s="8" t="n">
        <f aca="false">1</f>
        <v>1</v>
      </c>
      <c r="B6" s="8" t="s">
        <v>373</v>
      </c>
      <c r="C6" s="8" t="n">
        <v>125</v>
      </c>
      <c r="D6" s="8" t="s">
        <v>374</v>
      </c>
      <c r="E6" s="8" t="s">
        <v>375</v>
      </c>
    </row>
    <row r="7" customFormat="false" ht="15" hidden="false" customHeight="false" outlineLevel="0" collapsed="false">
      <c r="A7" s="8" t="n">
        <v>3</v>
      </c>
      <c r="B7" s="8" t="s">
        <v>376</v>
      </c>
      <c r="C7" s="8" t="n">
        <v>123</v>
      </c>
      <c r="D7" s="8" t="s">
        <v>377</v>
      </c>
      <c r="E7" s="8" t="s">
        <v>375</v>
      </c>
    </row>
    <row r="8" customFormat="false" ht="15" hidden="false" customHeight="false" outlineLevel="0" collapsed="false">
      <c r="A8" s="8" t="n">
        <v>4</v>
      </c>
      <c r="B8" s="8" t="s">
        <v>378</v>
      </c>
      <c r="C8" s="8" t="n">
        <v>117</v>
      </c>
      <c r="D8" s="8" t="s">
        <v>379</v>
      </c>
      <c r="E8" s="8" t="s">
        <v>375</v>
      </c>
    </row>
    <row r="9" customFormat="false" ht="15" hidden="false" customHeight="false" outlineLevel="0" collapsed="false">
      <c r="A9" s="8" t="n">
        <f aca="false">5</f>
        <v>5</v>
      </c>
      <c r="B9" s="8" t="s">
        <v>380</v>
      </c>
      <c r="C9" s="8" t="n">
        <v>116</v>
      </c>
      <c r="D9" s="8" t="s">
        <v>381</v>
      </c>
      <c r="E9" s="8" t="s">
        <v>375</v>
      </c>
    </row>
    <row r="10" customFormat="false" ht="15" hidden="false" customHeight="false" outlineLevel="0" collapsed="false">
      <c r="A10" s="8" t="n">
        <f aca="false">5</f>
        <v>5</v>
      </c>
      <c r="B10" s="8" t="s">
        <v>382</v>
      </c>
      <c r="C10" s="8" t="n">
        <v>116</v>
      </c>
      <c r="D10" s="8" t="s">
        <v>383</v>
      </c>
      <c r="E10" s="8" t="s">
        <v>372</v>
      </c>
    </row>
    <row r="11" customFormat="false" ht="15" hidden="false" customHeight="false" outlineLevel="0" collapsed="false">
      <c r="A11" s="8" t="n">
        <v>7</v>
      </c>
      <c r="B11" s="8" t="s">
        <v>384</v>
      </c>
      <c r="C11" s="8" t="n">
        <v>115</v>
      </c>
      <c r="D11" s="8" t="s">
        <v>385</v>
      </c>
      <c r="E11" s="8" t="s">
        <v>386</v>
      </c>
    </row>
    <row r="12" customFormat="false" ht="15" hidden="false" customHeight="false" outlineLevel="0" collapsed="false">
      <c r="A12" s="8" t="n">
        <v>8</v>
      </c>
      <c r="B12" s="8" t="s">
        <v>373</v>
      </c>
      <c r="C12" s="8" t="n">
        <v>106.8</v>
      </c>
      <c r="D12" s="8" t="s">
        <v>387</v>
      </c>
      <c r="E12" s="8" t="s">
        <v>386</v>
      </c>
    </row>
    <row r="13" customFormat="false" ht="15" hidden="false" customHeight="false" outlineLevel="0" collapsed="false">
      <c r="A13" s="8" t="n">
        <v>9</v>
      </c>
      <c r="B13" s="8" t="s">
        <v>388</v>
      </c>
      <c r="C13" s="8" t="n">
        <v>105</v>
      </c>
      <c r="D13" s="8" t="s">
        <v>389</v>
      </c>
      <c r="E13" s="8" t="s">
        <v>386</v>
      </c>
    </row>
    <row r="14" customFormat="false" ht="15" hidden="false" customHeight="false" outlineLevel="0" collapsed="false">
      <c r="A14" s="10" t="n">
        <f aca="false">10</f>
        <v>10</v>
      </c>
      <c r="B14" s="10" t="s">
        <v>390</v>
      </c>
      <c r="C14" s="10" t="n">
        <v>100</v>
      </c>
      <c r="D14" s="10" t="s">
        <v>391</v>
      </c>
      <c r="E14" s="10" t="s">
        <v>392</v>
      </c>
    </row>
    <row r="15" customFormat="false" ht="15" hidden="false" customHeight="false" outlineLevel="0" collapsed="false">
      <c r="A15" s="10" t="n">
        <f aca="false">10</f>
        <v>10</v>
      </c>
      <c r="B15" s="10" t="s">
        <v>393</v>
      </c>
      <c r="C15" s="10" t="n">
        <v>100</v>
      </c>
      <c r="D15" s="10" t="s">
        <v>394</v>
      </c>
      <c r="E15" s="10" t="s">
        <v>375</v>
      </c>
    </row>
    <row r="16" customFormat="false" ht="15" hidden="false" customHeight="false" outlineLevel="0" collapsed="false">
      <c r="A16" s="8" t="s">
        <v>62</v>
      </c>
      <c r="B16" s="8" t="s">
        <v>249</v>
      </c>
      <c r="C16" s="8" t="n">
        <v>97.5</v>
      </c>
      <c r="D16" s="8" t="s">
        <v>395</v>
      </c>
      <c r="E16" s="8" t="s">
        <v>392</v>
      </c>
    </row>
    <row r="17" customFormat="false" ht="15" hidden="false" customHeight="false" outlineLevel="0" collapsed="false">
      <c r="A17" s="8" t="s">
        <v>62</v>
      </c>
      <c r="B17" s="8" t="s">
        <v>396</v>
      </c>
      <c r="C17" s="8" t="n">
        <v>89</v>
      </c>
      <c r="D17" s="8" t="s">
        <v>397</v>
      </c>
      <c r="E17" s="8" t="s">
        <v>398</v>
      </c>
    </row>
    <row r="19" customFormat="false" ht="15" hidden="false" customHeight="false" outlineLevel="0" collapsed="false">
      <c r="A19" s="9" t="s">
        <v>67</v>
      </c>
    </row>
    <row r="20" customFormat="false" ht="15" hidden="false" customHeight="false" outlineLevel="0" collapsed="false">
      <c r="A20" s="4" t="s">
        <v>399</v>
      </c>
    </row>
    <row r="21" customFormat="false" ht="15" hidden="false" customHeight="false" outlineLevel="0" collapsed="false">
      <c r="A21" s="4" t="s">
        <v>400</v>
      </c>
    </row>
    <row r="22" customFormat="false" ht="15" hidden="false" customHeight="false" outlineLevel="0" collapsed="false">
      <c r="A22" s="4" t="s">
        <v>401</v>
      </c>
    </row>
    <row r="23" customFormat="false" ht="15" hidden="false" customHeight="false" outlineLevel="0" collapsed="false">
      <c r="A23" s="4" t="s">
        <v>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5" t="s">
        <v>403</v>
      </c>
    </row>
    <row r="2" customFormat="false" ht="15" hidden="false" customHeight="false" outlineLevel="0" collapsed="false">
      <c r="A2" s="6" t="s">
        <v>404</v>
      </c>
    </row>
    <row r="4" customFormat="false" ht="15" hidden="false" customHeight="false" outlineLevel="0" collapsed="false">
      <c r="A4" s="7" t="s">
        <v>37</v>
      </c>
      <c r="B4" s="7" t="s">
        <v>158</v>
      </c>
      <c r="C4" s="7" t="s">
        <v>368</v>
      </c>
      <c r="D4" s="7" t="s">
        <v>369</v>
      </c>
      <c r="E4" s="7" t="s">
        <v>405</v>
      </c>
    </row>
    <row r="5" customFormat="false" ht="26.85" hidden="false" customHeight="false" outlineLevel="0" collapsed="false">
      <c r="A5" s="8" t="n">
        <f aca="false">1</f>
        <v>1</v>
      </c>
      <c r="B5" s="8" t="s">
        <v>265</v>
      </c>
      <c r="C5" s="8" t="n">
        <v>125</v>
      </c>
      <c r="D5" s="8" t="s">
        <v>371</v>
      </c>
      <c r="E5" s="8"/>
    </row>
    <row r="6" customFormat="false" ht="26.85" hidden="false" customHeight="false" outlineLevel="0" collapsed="false">
      <c r="A6" s="8" t="n">
        <f aca="false">1</f>
        <v>1</v>
      </c>
      <c r="B6" s="8" t="s">
        <v>373</v>
      </c>
      <c r="C6" s="8" t="n">
        <v>125</v>
      </c>
      <c r="D6" s="8" t="s">
        <v>374</v>
      </c>
      <c r="E6" s="8"/>
    </row>
    <row r="7" customFormat="false" ht="26.85" hidden="false" customHeight="false" outlineLevel="0" collapsed="false">
      <c r="A7" s="8" t="n">
        <v>3</v>
      </c>
      <c r="B7" s="8" t="s">
        <v>378</v>
      </c>
      <c r="C7" s="8" t="n">
        <v>117</v>
      </c>
      <c r="D7" s="8" t="s">
        <v>379</v>
      </c>
      <c r="E7" s="8"/>
    </row>
    <row r="8" customFormat="false" ht="26.85" hidden="false" customHeight="false" outlineLevel="0" collapsed="false">
      <c r="A8" s="8" t="n">
        <v>4</v>
      </c>
      <c r="B8" s="8" t="s">
        <v>380</v>
      </c>
      <c r="C8" s="8" t="n">
        <v>116</v>
      </c>
      <c r="D8" s="8" t="s">
        <v>381</v>
      </c>
      <c r="E8" s="8"/>
    </row>
    <row r="9" customFormat="false" ht="26.85" hidden="false" customHeight="false" outlineLevel="0" collapsed="false">
      <c r="A9" s="8" t="n">
        <v>5</v>
      </c>
      <c r="B9" s="8" t="s">
        <v>406</v>
      </c>
      <c r="C9" s="8" t="n">
        <v>105</v>
      </c>
      <c r="D9" s="8" t="s">
        <v>407</v>
      </c>
      <c r="E9" s="8" t="s">
        <v>408</v>
      </c>
    </row>
    <row r="10" customFormat="false" ht="26.85" hidden="false" customHeight="false" outlineLevel="0" collapsed="false">
      <c r="A10" s="8" t="n">
        <f aca="false">6</f>
        <v>6</v>
      </c>
      <c r="B10" s="8" t="s">
        <v>390</v>
      </c>
      <c r="C10" s="8" t="n">
        <v>100</v>
      </c>
      <c r="D10" s="8" t="s">
        <v>391</v>
      </c>
      <c r="E10" s="8"/>
    </row>
    <row r="11" customFormat="false" ht="26.85" hidden="false" customHeight="false" outlineLevel="0" collapsed="false">
      <c r="A11" s="8" t="n">
        <f aca="false">6</f>
        <v>6</v>
      </c>
      <c r="B11" s="8" t="s">
        <v>388</v>
      </c>
      <c r="C11" s="8" t="n">
        <v>100</v>
      </c>
      <c r="D11" s="8" t="s">
        <v>389</v>
      </c>
      <c r="E11" s="8" t="s">
        <v>409</v>
      </c>
    </row>
    <row r="12" customFormat="false" ht="26.85" hidden="false" customHeight="false" outlineLevel="0" collapsed="false">
      <c r="A12" s="8" t="n">
        <f aca="false">6</f>
        <v>6</v>
      </c>
      <c r="B12" s="8" t="s">
        <v>384</v>
      </c>
      <c r="C12" s="8" t="n">
        <v>100</v>
      </c>
      <c r="D12" s="8" t="s">
        <v>385</v>
      </c>
      <c r="E12" s="8" t="s">
        <v>410</v>
      </c>
    </row>
    <row r="13" customFormat="false" ht="26.85" hidden="false" customHeight="false" outlineLevel="0" collapsed="false">
      <c r="A13" s="8" t="n">
        <v>9</v>
      </c>
      <c r="B13" s="8" t="s">
        <v>393</v>
      </c>
      <c r="C13" s="8" t="n">
        <v>92.5</v>
      </c>
      <c r="D13" s="8" t="s">
        <v>394</v>
      </c>
      <c r="E13" s="8" t="s">
        <v>411</v>
      </c>
    </row>
    <row r="14" customFormat="false" ht="26.85" hidden="false" customHeight="false" outlineLevel="0" collapsed="false">
      <c r="A14" s="8" t="n">
        <v>10</v>
      </c>
      <c r="B14" s="8" t="s">
        <v>412</v>
      </c>
      <c r="C14" s="8" t="n">
        <v>88.5</v>
      </c>
      <c r="D14" s="8" t="s">
        <v>413</v>
      </c>
      <c r="E14" s="8" t="s">
        <v>414</v>
      </c>
    </row>
    <row r="15" customFormat="false" ht="26.85" hidden="false" customHeight="false" outlineLevel="0" collapsed="false">
      <c r="A15" s="8" t="s">
        <v>62</v>
      </c>
      <c r="B15" s="8" t="s">
        <v>185</v>
      </c>
      <c r="C15" s="8" t="n">
        <v>86.4</v>
      </c>
      <c r="D15" s="8" t="s">
        <v>415</v>
      </c>
      <c r="E15" s="8"/>
    </row>
    <row r="16" customFormat="false" ht="26.85" hidden="false" customHeight="false" outlineLevel="0" collapsed="false">
      <c r="A16" s="8" t="s">
        <v>62</v>
      </c>
      <c r="B16" s="8" t="s">
        <v>241</v>
      </c>
      <c r="C16" s="8" t="n">
        <v>85.3</v>
      </c>
      <c r="D16" s="8" t="s">
        <v>416</v>
      </c>
      <c r="E16" s="8"/>
    </row>
    <row r="18" customFormat="false" ht="15" hidden="false" customHeight="false" outlineLevel="0" collapsed="false">
      <c r="A18" s="9" t="s">
        <v>67</v>
      </c>
    </row>
    <row r="19" customFormat="false" ht="15" hidden="false" customHeight="false" outlineLevel="0" collapsed="false">
      <c r="A19" s="4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36"/>
    <col collapsed="false" customWidth="true" hidden="false" outlineLevel="0" max="5" min="5" style="0" width="32"/>
  </cols>
  <sheetData>
    <row r="1" customFormat="false" ht="17.35" hidden="false" customHeight="false" outlineLevel="0" collapsed="false">
      <c r="A1" s="5" t="s">
        <v>418</v>
      </c>
    </row>
    <row r="2" customFormat="false" ht="15" hidden="false" customHeight="false" outlineLevel="0" collapsed="false">
      <c r="A2" s="6" t="s">
        <v>404</v>
      </c>
    </row>
    <row r="4" customFormat="false" ht="15" hidden="false" customHeight="false" outlineLevel="0" collapsed="false">
      <c r="A4" s="7" t="s">
        <v>37</v>
      </c>
      <c r="B4" s="7" t="s">
        <v>158</v>
      </c>
      <c r="C4" s="7" t="s">
        <v>368</v>
      </c>
      <c r="D4" s="7" t="s">
        <v>369</v>
      </c>
      <c r="E4" s="7" t="s">
        <v>405</v>
      </c>
    </row>
    <row r="5" customFormat="false" ht="15" hidden="false" customHeight="false" outlineLevel="0" collapsed="false">
      <c r="A5" s="8" t="n">
        <v>1</v>
      </c>
      <c r="B5" s="8" t="s">
        <v>406</v>
      </c>
      <c r="C5" s="8" t="n">
        <v>105</v>
      </c>
      <c r="D5" s="8" t="s">
        <v>419</v>
      </c>
      <c r="E5" s="8" t="s">
        <v>408</v>
      </c>
    </row>
    <row r="6" customFormat="false" ht="15" hidden="false" customHeight="false" outlineLevel="0" collapsed="false">
      <c r="A6" s="8" t="n">
        <v>2</v>
      </c>
      <c r="B6" s="8" t="s">
        <v>412</v>
      </c>
      <c r="C6" s="8" t="n">
        <v>88.5</v>
      </c>
      <c r="D6" s="8" t="s">
        <v>420</v>
      </c>
      <c r="E6" s="8" t="s">
        <v>414</v>
      </c>
    </row>
    <row r="7" customFormat="false" ht="15" hidden="false" customHeight="false" outlineLevel="0" collapsed="false">
      <c r="A7" s="8" t="n">
        <v>3</v>
      </c>
      <c r="B7" s="8" t="s">
        <v>185</v>
      </c>
      <c r="C7" s="8" t="n">
        <v>86.4</v>
      </c>
      <c r="D7" s="8" t="s">
        <v>421</v>
      </c>
      <c r="E7" s="8" t="s">
        <v>422</v>
      </c>
    </row>
    <row r="8" customFormat="false" ht="15" hidden="false" customHeight="false" outlineLevel="0" collapsed="false">
      <c r="A8" s="8" t="n">
        <v>4</v>
      </c>
      <c r="B8" s="8" t="s">
        <v>241</v>
      </c>
      <c r="C8" s="8" t="n">
        <v>85.3</v>
      </c>
      <c r="D8" s="8" t="s">
        <v>423</v>
      </c>
      <c r="E8" s="8"/>
    </row>
    <row r="9" customFormat="false" ht="15" hidden="false" customHeight="false" outlineLevel="0" collapsed="false">
      <c r="A9" s="8" t="n">
        <v>5</v>
      </c>
      <c r="B9" s="8" t="s">
        <v>174</v>
      </c>
      <c r="C9" s="8" t="n">
        <v>80</v>
      </c>
      <c r="D9" s="8" t="s">
        <v>424</v>
      </c>
      <c r="E9" s="8"/>
    </row>
    <row r="10" customFormat="false" ht="15" hidden="false" customHeight="false" outlineLevel="0" collapsed="false">
      <c r="A10" s="8" t="n">
        <v>6</v>
      </c>
      <c r="B10" s="8" t="s">
        <v>249</v>
      </c>
      <c r="C10" s="8" t="n">
        <v>74</v>
      </c>
      <c r="D10" s="8" t="s">
        <v>425</v>
      </c>
      <c r="E10" s="8"/>
    </row>
    <row r="11" customFormat="false" ht="15" hidden="false" customHeight="false" outlineLevel="0" collapsed="false">
      <c r="A11" s="8" t="n">
        <v>7</v>
      </c>
      <c r="B11" s="8" t="s">
        <v>426</v>
      </c>
      <c r="C11" s="8" t="n">
        <v>69.3</v>
      </c>
      <c r="D11" s="8" t="s">
        <v>427</v>
      </c>
      <c r="E11" s="8"/>
    </row>
    <row r="12" customFormat="false" ht="15" hidden="false" customHeight="false" outlineLevel="0" collapsed="false">
      <c r="A12" s="8" t="n">
        <v>8</v>
      </c>
      <c r="B12" s="8" t="s">
        <v>428</v>
      </c>
      <c r="C12" s="8" t="n">
        <v>65.5</v>
      </c>
      <c r="D12" s="8" t="s">
        <v>429</v>
      </c>
      <c r="E12" s="8"/>
    </row>
    <row r="13" customFormat="false" ht="15" hidden="false" customHeight="false" outlineLevel="0" collapsed="false">
      <c r="A13" s="8" t="n">
        <v>9</v>
      </c>
      <c r="B13" s="8" t="s">
        <v>176</v>
      </c>
      <c r="C13" s="8" t="n">
        <v>65</v>
      </c>
      <c r="D13" s="8" t="s">
        <v>430</v>
      </c>
      <c r="E13" s="8" t="s">
        <v>431</v>
      </c>
    </row>
    <row r="14" customFormat="false" ht="15" hidden="false" customHeight="false" outlineLevel="0" collapsed="false">
      <c r="A14" s="10" t="n">
        <f aca="false">10</f>
        <v>10</v>
      </c>
      <c r="B14" s="10" t="s">
        <v>432</v>
      </c>
      <c r="C14" s="10" t="n">
        <v>64.5</v>
      </c>
      <c r="D14" s="10" t="s">
        <v>433</v>
      </c>
      <c r="E14" s="10"/>
    </row>
    <row r="15" customFormat="false" ht="15" hidden="false" customHeight="false" outlineLevel="0" collapsed="false">
      <c r="A15" s="10" t="n">
        <f aca="false">10</f>
        <v>10</v>
      </c>
      <c r="B15" s="10" t="s">
        <v>434</v>
      </c>
      <c r="C15" s="10" t="n">
        <v>64.4</v>
      </c>
      <c r="D15" s="10" t="s">
        <v>435</v>
      </c>
      <c r="E15" s="10" t="s">
        <v>436</v>
      </c>
    </row>
    <row r="16" customFormat="false" ht="15" hidden="false" customHeight="false" outlineLevel="0" collapsed="false">
      <c r="A16" s="8" t="s">
        <v>62</v>
      </c>
      <c r="B16" s="8" t="s">
        <v>437</v>
      </c>
      <c r="C16" s="8" t="n">
        <v>60</v>
      </c>
      <c r="D16" s="8" t="s">
        <v>438</v>
      </c>
      <c r="E16" s="8"/>
    </row>
    <row r="18" customFormat="false" ht="15" hidden="false" customHeight="false" outlineLevel="0" collapsed="false">
      <c r="A18" s="9" t="s">
        <v>67</v>
      </c>
    </row>
    <row r="19" customFormat="false" ht="15" hidden="false" customHeight="false" outlineLevel="0" collapsed="false">
      <c r="A19" s="4" t="s">
        <v>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5" t="s">
        <v>440</v>
      </c>
    </row>
    <row r="2" customFormat="false" ht="15" hidden="false" customHeight="false" outlineLevel="0" collapsed="false">
      <c r="A2" s="6" t="s">
        <v>441</v>
      </c>
    </row>
    <row r="4" customFormat="false" ht="15" hidden="false" customHeight="false" outlineLevel="0" collapsed="false">
      <c r="A4" s="7" t="s">
        <v>196</v>
      </c>
      <c r="B4" s="7" t="s">
        <v>442</v>
      </c>
      <c r="C4" s="7" t="s">
        <v>368</v>
      </c>
      <c r="D4" s="7" t="s">
        <v>443</v>
      </c>
      <c r="E4" s="7" t="s">
        <v>368</v>
      </c>
      <c r="F4" s="7" t="s">
        <v>67</v>
      </c>
    </row>
    <row r="5" customFormat="false" ht="15" hidden="false" customHeight="false" outlineLevel="0" collapsed="false">
      <c r="A5" s="8" t="s">
        <v>144</v>
      </c>
      <c r="B5" s="8" t="s">
        <v>444</v>
      </c>
      <c r="C5" s="8" t="n">
        <v>89</v>
      </c>
      <c r="D5" s="8" t="s">
        <v>445</v>
      </c>
      <c r="E5" s="8" t="n">
        <v>80</v>
      </c>
      <c r="F5" s="8"/>
    </row>
    <row r="6" customFormat="false" ht="15" hidden="false" customHeight="false" outlineLevel="0" collapsed="false">
      <c r="A6" s="8" t="s">
        <v>146</v>
      </c>
      <c r="B6" s="8" t="s">
        <v>446</v>
      </c>
      <c r="C6" s="8" t="n">
        <v>125</v>
      </c>
      <c r="D6" s="8" t="s">
        <v>447</v>
      </c>
      <c r="E6" s="8" t="n">
        <v>142</v>
      </c>
      <c r="F6" s="8" t="s">
        <v>448</v>
      </c>
    </row>
    <row r="7" customFormat="false" ht="15" hidden="false" customHeight="false" outlineLevel="0" collapsed="false">
      <c r="A7" s="8" t="s">
        <v>147</v>
      </c>
      <c r="B7" s="8" t="s">
        <v>449</v>
      </c>
      <c r="C7" s="8" t="n">
        <v>105</v>
      </c>
      <c r="D7" s="8" t="s">
        <v>450</v>
      </c>
      <c r="E7" s="8" t="n">
        <v>60</v>
      </c>
      <c r="F7" s="8" t="s">
        <v>451</v>
      </c>
    </row>
    <row r="8" customFormat="false" ht="15" hidden="false" customHeight="false" outlineLevel="0" collapsed="false">
      <c r="A8" s="8" t="s">
        <v>149</v>
      </c>
      <c r="B8" s="8" t="s">
        <v>452</v>
      </c>
      <c r="C8" s="8" t="n">
        <v>117</v>
      </c>
      <c r="D8" s="8" t="s">
        <v>453</v>
      </c>
      <c r="E8" s="8" t="n">
        <v>125</v>
      </c>
      <c r="F8" s="8"/>
    </row>
    <row r="9" customFormat="false" ht="15" hidden="false" customHeight="false" outlineLevel="0" collapsed="false">
      <c r="A9" s="8" t="s">
        <v>143</v>
      </c>
      <c r="B9" s="8" t="s">
        <v>454</v>
      </c>
      <c r="C9" s="8" t="n">
        <v>125</v>
      </c>
      <c r="D9" s="8" t="s">
        <v>455</v>
      </c>
      <c r="E9" s="8" t="n">
        <v>85</v>
      </c>
      <c r="F9" s="8" t="s">
        <v>456</v>
      </c>
    </row>
    <row r="10" customFormat="false" ht="15" hidden="false" customHeight="false" outlineLevel="0" collapsed="false">
      <c r="A10" s="8" t="s">
        <v>186</v>
      </c>
      <c r="B10" s="8" t="s">
        <v>457</v>
      </c>
      <c r="C10" s="8" t="n">
        <v>100</v>
      </c>
      <c r="D10" s="8" t="s">
        <v>458</v>
      </c>
      <c r="E10" s="8" t="n">
        <v>86.4</v>
      </c>
      <c r="F10" s="8"/>
    </row>
    <row r="11" customFormat="false" ht="15" hidden="false" customHeight="false" outlineLevel="0" collapsed="false">
      <c r="A11" s="8" t="s">
        <v>202</v>
      </c>
      <c r="B11" s="8" t="s">
        <v>459</v>
      </c>
      <c r="C11" s="8" t="n">
        <v>69</v>
      </c>
      <c r="D11" s="8" t="s">
        <v>460</v>
      </c>
      <c r="E11" s="8" t="n">
        <v>125</v>
      </c>
      <c r="F11" s="8"/>
    </row>
    <row r="12" customFormat="false" ht="26.85" hidden="false" customHeight="false" outlineLevel="0" collapsed="false">
      <c r="A12" s="8" t="s">
        <v>461</v>
      </c>
      <c r="B12" s="8" t="s">
        <v>462</v>
      </c>
      <c r="C12" s="8" t="n">
        <v>65</v>
      </c>
      <c r="D12" s="8" t="s">
        <v>463</v>
      </c>
      <c r="E12" s="8" t="n">
        <v>117</v>
      </c>
      <c r="F12" s="8" t="s">
        <v>464</v>
      </c>
    </row>
    <row r="13" customFormat="false" ht="15" hidden="false" customHeight="false" outlineLevel="0" collapsed="false">
      <c r="A13" s="8" t="s">
        <v>465</v>
      </c>
      <c r="B13" s="8" t="s">
        <v>466</v>
      </c>
      <c r="C13" s="8" t="n">
        <v>51</v>
      </c>
      <c r="D13" s="8" t="s">
        <v>467</v>
      </c>
      <c r="E13" s="8" t="n">
        <v>105</v>
      </c>
      <c r="F13" s="8" t="s">
        <v>468</v>
      </c>
    </row>
    <row r="14" customFormat="false" ht="15" hidden="false" customHeight="false" outlineLevel="0" collapsed="false">
      <c r="A14" s="8" t="s">
        <v>250</v>
      </c>
      <c r="B14" s="8" t="s">
        <v>469</v>
      </c>
      <c r="C14" s="8" t="n">
        <v>45</v>
      </c>
      <c r="D14" s="8" t="s">
        <v>470</v>
      </c>
      <c r="E14" s="8" t="n">
        <v>75</v>
      </c>
      <c r="F14" s="8"/>
    </row>
    <row r="16" customFormat="false" ht="15" hidden="false" customHeight="false" outlineLevel="0" collapsed="false">
      <c r="A16" s="9" t="s">
        <v>67</v>
      </c>
    </row>
    <row r="17" customFormat="false" ht="15" hidden="false" customHeight="false" outlineLevel="0" collapsed="false">
      <c r="A17" s="4" t="s">
        <v>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5" t="s">
        <v>472</v>
      </c>
    </row>
    <row r="2" customFormat="false" ht="15" hidden="false" customHeight="false" outlineLevel="0" collapsed="false">
      <c r="A2" s="6" t="s">
        <v>473</v>
      </c>
    </row>
    <row r="4" customFormat="false" ht="15" hidden="false" customHeight="false" outlineLevel="0" collapsed="false">
      <c r="A4" s="7" t="s">
        <v>37</v>
      </c>
      <c r="B4" s="7" t="s">
        <v>158</v>
      </c>
      <c r="C4" s="7" t="s">
        <v>368</v>
      </c>
      <c r="D4" s="7" t="s">
        <v>369</v>
      </c>
      <c r="E4" s="7" t="s">
        <v>370</v>
      </c>
    </row>
    <row r="5" customFormat="false" ht="15" hidden="false" customHeight="false" outlineLevel="0" collapsed="false">
      <c r="A5" s="8" t="n">
        <v>1</v>
      </c>
      <c r="B5" s="8" t="s">
        <v>474</v>
      </c>
      <c r="C5" s="8" t="n">
        <v>71.6</v>
      </c>
      <c r="D5" s="8" t="s">
        <v>475</v>
      </c>
      <c r="E5" s="8" t="s">
        <v>476</v>
      </c>
    </row>
    <row r="6" customFormat="false" ht="15" hidden="false" customHeight="false" outlineLevel="0" collapsed="false">
      <c r="A6" s="8" t="n">
        <v>2</v>
      </c>
      <c r="B6" s="8" t="s">
        <v>477</v>
      </c>
      <c r="C6" s="8" t="n">
        <v>66.8</v>
      </c>
      <c r="D6" s="8" t="s">
        <v>478</v>
      </c>
      <c r="E6" s="8" t="s">
        <v>476</v>
      </c>
    </row>
    <row r="7" customFormat="false" ht="15" hidden="false" customHeight="false" outlineLevel="0" collapsed="false">
      <c r="A7" s="8" t="n">
        <v>3</v>
      </c>
      <c r="B7" s="8" t="s">
        <v>479</v>
      </c>
      <c r="C7" s="8" t="n">
        <v>47.2</v>
      </c>
      <c r="D7" s="8" t="s">
        <v>480</v>
      </c>
      <c r="E7" s="8" t="s">
        <v>386</v>
      </c>
    </row>
    <row r="8" customFormat="false" ht="15" hidden="false" customHeight="false" outlineLevel="0" collapsed="false">
      <c r="A8" s="8" t="n">
        <v>4</v>
      </c>
      <c r="B8" s="8" t="s">
        <v>481</v>
      </c>
      <c r="C8" s="8" t="n">
        <v>45</v>
      </c>
      <c r="D8" s="8" t="s">
        <v>482</v>
      </c>
      <c r="E8" s="8" t="s">
        <v>375</v>
      </c>
    </row>
    <row r="9" customFormat="false" ht="15" hidden="false" customHeight="false" outlineLevel="0" collapsed="false">
      <c r="A9" s="8" t="n">
        <v>5</v>
      </c>
      <c r="B9" s="8" t="s">
        <v>483</v>
      </c>
      <c r="C9" s="8" t="n">
        <v>34.9</v>
      </c>
      <c r="D9" s="8" t="s">
        <v>484</v>
      </c>
      <c r="E9" s="8" t="s">
        <v>485</v>
      </c>
    </row>
    <row r="10" customFormat="false" ht="15" hidden="false" customHeight="false" outlineLevel="0" collapsed="false">
      <c r="A10" s="8" t="n">
        <v>6</v>
      </c>
      <c r="B10" s="8" t="s">
        <v>481</v>
      </c>
      <c r="C10" s="8" t="n">
        <v>31</v>
      </c>
      <c r="D10" s="8" t="s">
        <v>486</v>
      </c>
      <c r="E10" s="8" t="s">
        <v>372</v>
      </c>
    </row>
    <row r="11" customFormat="false" ht="15" hidden="false" customHeight="false" outlineLevel="0" collapsed="false">
      <c r="A11" s="8" t="n">
        <f aca="false">7</f>
        <v>7</v>
      </c>
      <c r="B11" s="8" t="s">
        <v>487</v>
      </c>
      <c r="C11" s="8" t="n">
        <v>30</v>
      </c>
      <c r="D11" s="8" t="s">
        <v>488</v>
      </c>
      <c r="E11" s="8" t="s">
        <v>485</v>
      </c>
    </row>
    <row r="12" customFormat="false" ht="15" hidden="false" customHeight="false" outlineLevel="0" collapsed="false">
      <c r="A12" s="8" t="n">
        <f aca="false">7</f>
        <v>7</v>
      </c>
      <c r="B12" s="8" t="s">
        <v>489</v>
      </c>
      <c r="C12" s="8" t="n">
        <v>30</v>
      </c>
      <c r="D12" s="8" t="s">
        <v>490</v>
      </c>
      <c r="E12" s="8" t="s">
        <v>392</v>
      </c>
    </row>
    <row r="13" customFormat="false" ht="15" hidden="false" customHeight="false" outlineLevel="0" collapsed="false">
      <c r="A13" s="8" t="n">
        <v>9</v>
      </c>
      <c r="B13" s="8" t="s">
        <v>491</v>
      </c>
      <c r="C13" s="8" t="n">
        <v>29</v>
      </c>
      <c r="D13" s="8" t="s">
        <v>492</v>
      </c>
      <c r="E13" s="8" t="s">
        <v>493</v>
      </c>
    </row>
    <row r="14" customFormat="false" ht="15" hidden="false" customHeight="false" outlineLevel="0" collapsed="false">
      <c r="A14" s="8" t="n">
        <v>10</v>
      </c>
      <c r="B14" s="8" t="s">
        <v>494</v>
      </c>
      <c r="C14" s="8" t="n">
        <v>27</v>
      </c>
      <c r="D14" s="8" t="s">
        <v>495</v>
      </c>
      <c r="E14" s="8" t="s">
        <v>496</v>
      </c>
    </row>
    <row r="15" customFormat="false" ht="15" hidden="false" customHeight="false" outlineLevel="0" collapsed="false">
      <c r="A15" s="8" t="s">
        <v>62</v>
      </c>
      <c r="B15" s="8" t="s">
        <v>497</v>
      </c>
      <c r="C15" s="8" t="n">
        <v>26</v>
      </c>
      <c r="D15" s="8" t="s">
        <v>498</v>
      </c>
      <c r="E15" s="8" t="s">
        <v>372</v>
      </c>
    </row>
    <row r="17" customFormat="false" ht="15" hidden="false" customHeight="false" outlineLevel="0" collapsed="false">
      <c r="A17" s="9" t="s">
        <v>67</v>
      </c>
    </row>
    <row r="18" customFormat="false" ht="15" hidden="false" customHeight="false" outlineLevel="0" collapsed="false">
      <c r="A18" s="4" t="s">
        <v>499</v>
      </c>
    </row>
    <row r="19" customFormat="false" ht="15" hidden="false" customHeight="false" outlineLevel="0" collapsed="false">
      <c r="A19" s="4" t="s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5" t="s">
        <v>501</v>
      </c>
    </row>
    <row r="2" customFormat="false" ht="15" hidden="false" customHeight="false" outlineLevel="0" collapsed="false">
      <c r="A2" s="6" t="s">
        <v>473</v>
      </c>
    </row>
    <row r="4" customFormat="false" ht="15" hidden="false" customHeight="false" outlineLevel="0" collapsed="false">
      <c r="A4" s="7" t="s">
        <v>37</v>
      </c>
      <c r="B4" s="7" t="s">
        <v>158</v>
      </c>
      <c r="C4" s="7" t="s">
        <v>368</v>
      </c>
      <c r="D4" s="7" t="s">
        <v>369</v>
      </c>
      <c r="E4" s="7" t="s">
        <v>370</v>
      </c>
    </row>
    <row r="5" customFormat="false" ht="15" hidden="false" customHeight="false" outlineLevel="0" collapsed="false">
      <c r="A5" s="8" t="n">
        <v>1</v>
      </c>
      <c r="B5" s="8" t="s">
        <v>502</v>
      </c>
      <c r="C5" s="8" t="n">
        <v>80</v>
      </c>
      <c r="D5" s="8" t="s">
        <v>503</v>
      </c>
      <c r="E5" s="8" t="s">
        <v>504</v>
      </c>
    </row>
    <row r="6" customFormat="false" ht="15" hidden="false" customHeight="false" outlineLevel="0" collapsed="false">
      <c r="A6" s="8" t="n">
        <v>2</v>
      </c>
      <c r="B6" s="8" t="s">
        <v>505</v>
      </c>
      <c r="C6" s="8" t="n">
        <v>77.6</v>
      </c>
      <c r="D6" s="8" t="s">
        <v>506</v>
      </c>
      <c r="E6" s="8" t="s">
        <v>386</v>
      </c>
    </row>
    <row r="7" customFormat="false" ht="15" hidden="false" customHeight="false" outlineLevel="0" collapsed="false">
      <c r="A7" s="8" t="n">
        <f aca="false">3</f>
        <v>3</v>
      </c>
      <c r="B7" s="8" t="s">
        <v>507</v>
      </c>
      <c r="C7" s="8" t="n">
        <v>75</v>
      </c>
      <c r="D7" s="8" t="s">
        <v>508</v>
      </c>
      <c r="E7" s="8" t="s">
        <v>476</v>
      </c>
    </row>
    <row r="8" customFormat="false" ht="15" hidden="false" customHeight="false" outlineLevel="0" collapsed="false">
      <c r="A8" s="8" t="n">
        <f aca="false">3</f>
        <v>3</v>
      </c>
      <c r="B8" s="8" t="s">
        <v>509</v>
      </c>
      <c r="C8" s="8" t="n">
        <v>75</v>
      </c>
      <c r="D8" s="8" t="s">
        <v>510</v>
      </c>
      <c r="E8" s="8" t="s">
        <v>511</v>
      </c>
    </row>
    <row r="9" customFormat="false" ht="15" hidden="false" customHeight="false" outlineLevel="0" collapsed="false">
      <c r="A9" s="8" t="n">
        <v>5</v>
      </c>
      <c r="B9" s="8" t="s">
        <v>512</v>
      </c>
      <c r="C9" s="8" t="n">
        <v>65</v>
      </c>
      <c r="D9" s="8" t="s">
        <v>484</v>
      </c>
      <c r="E9" s="8" t="s">
        <v>513</v>
      </c>
    </row>
    <row r="10" customFormat="false" ht="15" hidden="false" customHeight="false" outlineLevel="0" collapsed="false">
      <c r="A10" s="8" t="n">
        <v>6</v>
      </c>
      <c r="B10" s="8" t="s">
        <v>514</v>
      </c>
      <c r="C10" s="8" t="n">
        <v>62</v>
      </c>
      <c r="D10" s="8" t="s">
        <v>385</v>
      </c>
      <c r="E10" s="8" t="s">
        <v>511</v>
      </c>
    </row>
    <row r="11" customFormat="false" ht="15" hidden="false" customHeight="false" outlineLevel="0" collapsed="false">
      <c r="A11" s="8" t="n">
        <f aca="false">7</f>
        <v>7</v>
      </c>
      <c r="B11" s="8" t="s">
        <v>515</v>
      </c>
      <c r="C11" s="8" t="n">
        <v>60</v>
      </c>
      <c r="D11" s="8" t="s">
        <v>516</v>
      </c>
      <c r="E11" s="8" t="s">
        <v>504</v>
      </c>
    </row>
    <row r="12" customFormat="false" ht="15" hidden="false" customHeight="false" outlineLevel="0" collapsed="false">
      <c r="A12" s="8" t="n">
        <f aca="false">7</f>
        <v>7</v>
      </c>
      <c r="B12" s="8" t="s">
        <v>517</v>
      </c>
      <c r="C12" s="8" t="n">
        <v>60</v>
      </c>
      <c r="D12" s="8" t="s">
        <v>518</v>
      </c>
      <c r="E12" s="8" t="s">
        <v>375</v>
      </c>
    </row>
    <row r="13" customFormat="false" ht="15" hidden="false" customHeight="false" outlineLevel="0" collapsed="false">
      <c r="A13" s="8" t="n">
        <v>9</v>
      </c>
      <c r="B13" s="8" t="s">
        <v>519</v>
      </c>
      <c r="C13" s="8" t="n">
        <v>59.9</v>
      </c>
      <c r="D13" s="8" t="s">
        <v>520</v>
      </c>
      <c r="E13" s="8" t="s">
        <v>496</v>
      </c>
    </row>
    <row r="14" customFormat="false" ht="15" hidden="false" customHeight="false" outlineLevel="0" collapsed="false">
      <c r="A14" s="8" t="n">
        <v>10</v>
      </c>
      <c r="B14" s="8" t="s">
        <v>521</v>
      </c>
      <c r="C14" s="8" t="n">
        <v>57</v>
      </c>
      <c r="D14" s="8" t="s">
        <v>522</v>
      </c>
      <c r="E14" s="8" t="s">
        <v>476</v>
      </c>
    </row>
    <row r="15" customFormat="false" ht="15" hidden="false" customHeight="false" outlineLevel="0" collapsed="false">
      <c r="A15" s="8" t="s">
        <v>62</v>
      </c>
      <c r="B15" s="8" t="s">
        <v>523</v>
      </c>
      <c r="C15" s="8" t="n">
        <v>56.7</v>
      </c>
      <c r="D15" s="8" t="s">
        <v>524</v>
      </c>
      <c r="E15" s="8" t="s">
        <v>511</v>
      </c>
    </row>
    <row r="16" customFormat="false" ht="15" hidden="false" customHeight="false" outlineLevel="0" collapsed="false">
      <c r="A16" s="8" t="s">
        <v>62</v>
      </c>
      <c r="B16" s="8" t="s">
        <v>525</v>
      </c>
      <c r="C16" s="8" t="n">
        <v>55</v>
      </c>
      <c r="D16" s="8" t="s">
        <v>526</v>
      </c>
      <c r="E16" s="8" t="s">
        <v>375</v>
      </c>
    </row>
    <row r="18" customFormat="false" ht="15" hidden="false" customHeight="false" outlineLevel="0" collapsed="false">
      <c r="A18" s="9" t="s">
        <v>67</v>
      </c>
    </row>
    <row r="19" customFormat="false" ht="15" hidden="false" customHeight="false" outlineLevel="0" collapsed="false">
      <c r="A19" s="4" t="s">
        <v>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5" t="s">
        <v>528</v>
      </c>
    </row>
    <row r="2" customFormat="false" ht="15" hidden="false" customHeight="false" outlineLevel="0" collapsed="false">
      <c r="A2" s="6" t="s">
        <v>473</v>
      </c>
    </row>
    <row r="4" customFormat="false" ht="15" hidden="false" customHeight="false" outlineLevel="0" collapsed="false">
      <c r="A4" s="7" t="s">
        <v>37</v>
      </c>
      <c r="B4" s="7" t="s">
        <v>158</v>
      </c>
      <c r="C4" s="7" t="s">
        <v>368</v>
      </c>
      <c r="D4" s="7" t="s">
        <v>369</v>
      </c>
      <c r="E4" s="7" t="s">
        <v>370</v>
      </c>
    </row>
    <row r="5" customFormat="false" ht="15" hidden="false" customHeight="false" outlineLevel="0" collapsed="false">
      <c r="A5" s="8" t="n">
        <v>1</v>
      </c>
      <c r="B5" s="8" t="s">
        <v>373</v>
      </c>
      <c r="C5" s="8" t="n">
        <v>125</v>
      </c>
      <c r="D5" s="8" t="s">
        <v>374</v>
      </c>
      <c r="E5" s="8" t="s">
        <v>375</v>
      </c>
    </row>
    <row r="6" customFormat="false" ht="15" hidden="false" customHeight="false" outlineLevel="0" collapsed="false">
      <c r="A6" s="8" t="n">
        <v>2</v>
      </c>
      <c r="B6" s="8" t="s">
        <v>378</v>
      </c>
      <c r="C6" s="8" t="n">
        <v>117</v>
      </c>
      <c r="D6" s="8" t="s">
        <v>379</v>
      </c>
      <c r="E6" s="8" t="s">
        <v>529</v>
      </c>
    </row>
    <row r="7" customFormat="false" ht="15" hidden="false" customHeight="false" outlineLevel="0" collapsed="false">
      <c r="A7" s="8" t="n">
        <f aca="false">3</f>
        <v>3</v>
      </c>
      <c r="B7" s="8" t="s">
        <v>380</v>
      </c>
      <c r="C7" s="8" t="n">
        <v>116</v>
      </c>
      <c r="D7" s="8" t="s">
        <v>381</v>
      </c>
      <c r="E7" s="8" t="s">
        <v>375</v>
      </c>
    </row>
    <row r="8" customFormat="false" ht="15" hidden="false" customHeight="false" outlineLevel="0" collapsed="false">
      <c r="A8" s="8" t="n">
        <f aca="false">3</f>
        <v>3</v>
      </c>
      <c r="B8" s="8" t="s">
        <v>382</v>
      </c>
      <c r="C8" s="8" t="n">
        <v>116</v>
      </c>
      <c r="D8" s="8" t="s">
        <v>383</v>
      </c>
      <c r="E8" s="8" t="s">
        <v>372</v>
      </c>
    </row>
    <row r="9" customFormat="false" ht="15" hidden="false" customHeight="false" outlineLevel="0" collapsed="false">
      <c r="A9" s="8" t="n">
        <v>5</v>
      </c>
      <c r="B9" s="8" t="s">
        <v>384</v>
      </c>
      <c r="C9" s="8" t="n">
        <v>115</v>
      </c>
      <c r="D9" s="8" t="s">
        <v>385</v>
      </c>
      <c r="E9" s="8" t="s">
        <v>386</v>
      </c>
    </row>
    <row r="10" customFormat="false" ht="15" hidden="false" customHeight="false" outlineLevel="0" collapsed="false">
      <c r="A10" s="8" t="n">
        <v>6</v>
      </c>
      <c r="B10" s="8" t="s">
        <v>373</v>
      </c>
      <c r="C10" s="8" t="n">
        <v>106.8</v>
      </c>
      <c r="D10" s="8" t="s">
        <v>387</v>
      </c>
      <c r="E10" s="8" t="s">
        <v>386</v>
      </c>
    </row>
    <row r="11" customFormat="false" ht="15" hidden="false" customHeight="false" outlineLevel="0" collapsed="false">
      <c r="A11" s="8" t="n">
        <v>7</v>
      </c>
      <c r="B11" s="8" t="s">
        <v>388</v>
      </c>
      <c r="C11" s="8" t="n">
        <v>105</v>
      </c>
      <c r="D11" s="8" t="s">
        <v>389</v>
      </c>
      <c r="E11" s="8" t="s">
        <v>386</v>
      </c>
    </row>
    <row r="12" customFormat="false" ht="15" hidden="false" customHeight="false" outlineLevel="0" collapsed="false">
      <c r="A12" s="8" t="n">
        <v>8</v>
      </c>
      <c r="B12" s="8" t="s">
        <v>393</v>
      </c>
      <c r="C12" s="8" t="n">
        <v>100</v>
      </c>
      <c r="D12" s="8" t="s">
        <v>394</v>
      </c>
      <c r="E12" s="8" t="s">
        <v>375</v>
      </c>
    </row>
    <row r="13" customFormat="false" ht="15" hidden="false" customHeight="false" outlineLevel="0" collapsed="false">
      <c r="A13" s="8" t="n">
        <v>9</v>
      </c>
      <c r="B13" s="8" t="s">
        <v>396</v>
      </c>
      <c r="C13" s="8" t="n">
        <v>89</v>
      </c>
      <c r="D13" s="8" t="s">
        <v>397</v>
      </c>
      <c r="E13" s="8" t="s">
        <v>398</v>
      </c>
    </row>
    <row r="14" customFormat="false" ht="15" hidden="false" customHeight="false" outlineLevel="0" collapsed="false">
      <c r="A14" s="8" t="n">
        <v>10</v>
      </c>
      <c r="B14" s="8" t="s">
        <v>530</v>
      </c>
      <c r="C14" s="8" t="n">
        <v>86</v>
      </c>
      <c r="D14" s="8" t="s">
        <v>531</v>
      </c>
      <c r="E14" s="8" t="s">
        <v>375</v>
      </c>
    </row>
    <row r="15" customFormat="false" ht="15" hidden="false" customHeight="false" outlineLevel="0" collapsed="false">
      <c r="A15" s="8" t="s">
        <v>62</v>
      </c>
      <c r="B15" s="8" t="s">
        <v>532</v>
      </c>
      <c r="C15" s="8" t="n">
        <v>85</v>
      </c>
      <c r="D15" s="8" t="s">
        <v>533</v>
      </c>
      <c r="E15" s="8" t="s">
        <v>375</v>
      </c>
    </row>
    <row r="17" customFormat="false" ht="15" hidden="false" customHeight="false" outlineLevel="0" collapsed="false">
      <c r="A17" s="9" t="s">
        <v>67</v>
      </c>
    </row>
    <row r="18" customFormat="false" ht="15" hidden="false" customHeight="false" outlineLevel="0" collapsed="false">
      <c r="A18" s="4" t="s">
        <v>534</v>
      </c>
    </row>
    <row r="19" customFormat="false" ht="15" hidden="false" customHeight="false" outlineLevel="0" collapsed="false">
      <c r="A19" s="4" t="s">
        <v>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5" t="s">
        <v>536</v>
      </c>
    </row>
    <row r="2" customFormat="false" ht="15" hidden="false" customHeight="false" outlineLevel="0" collapsed="false">
      <c r="A2" s="6" t="s">
        <v>473</v>
      </c>
    </row>
    <row r="4" customFormat="false" ht="15" hidden="false" customHeight="false" outlineLevel="0" collapsed="false">
      <c r="A4" s="7" t="s">
        <v>37</v>
      </c>
      <c r="B4" s="7" t="s">
        <v>158</v>
      </c>
      <c r="C4" s="7" t="s">
        <v>368</v>
      </c>
      <c r="D4" s="7" t="s">
        <v>369</v>
      </c>
      <c r="E4" s="7" t="s">
        <v>370</v>
      </c>
    </row>
    <row r="5" customFormat="false" ht="15" hidden="false" customHeight="false" outlineLevel="0" collapsed="false">
      <c r="A5" s="8" t="n">
        <v>1</v>
      </c>
      <c r="B5" s="8" t="s">
        <v>265</v>
      </c>
      <c r="C5" s="8" t="n">
        <v>125</v>
      </c>
      <c r="D5" s="8" t="s">
        <v>371</v>
      </c>
      <c r="E5" s="8" t="s">
        <v>372</v>
      </c>
    </row>
    <row r="6" customFormat="false" ht="15" hidden="false" customHeight="false" outlineLevel="0" collapsed="false">
      <c r="A6" s="8" t="n">
        <v>2</v>
      </c>
      <c r="B6" s="8" t="s">
        <v>376</v>
      </c>
      <c r="C6" s="8" t="n">
        <v>123</v>
      </c>
      <c r="D6" s="8" t="s">
        <v>377</v>
      </c>
      <c r="E6" s="8" t="s">
        <v>375</v>
      </c>
    </row>
    <row r="7" customFormat="false" ht="15" hidden="false" customHeight="false" outlineLevel="0" collapsed="false">
      <c r="A7" s="8" t="n">
        <v>3</v>
      </c>
      <c r="B7" s="8" t="s">
        <v>390</v>
      </c>
      <c r="C7" s="8" t="n">
        <v>100</v>
      </c>
      <c r="D7" s="8" t="s">
        <v>391</v>
      </c>
      <c r="E7" s="8" t="s">
        <v>392</v>
      </c>
    </row>
    <row r="8" customFormat="false" ht="15" hidden="false" customHeight="false" outlineLevel="0" collapsed="false">
      <c r="A8" s="8" t="n">
        <v>4</v>
      </c>
      <c r="B8" s="8" t="s">
        <v>249</v>
      </c>
      <c r="C8" s="8" t="n">
        <v>97.5</v>
      </c>
      <c r="D8" s="8" t="s">
        <v>395</v>
      </c>
      <c r="E8" s="8" t="s">
        <v>392</v>
      </c>
    </row>
    <row r="9" customFormat="false" ht="15" hidden="false" customHeight="false" outlineLevel="0" collapsed="false">
      <c r="A9" s="8" t="n">
        <v>5</v>
      </c>
      <c r="B9" s="8" t="s">
        <v>249</v>
      </c>
      <c r="C9" s="8" t="n">
        <v>90</v>
      </c>
      <c r="D9" s="8" t="s">
        <v>537</v>
      </c>
      <c r="E9" s="8" t="s">
        <v>485</v>
      </c>
    </row>
    <row r="10" customFormat="false" ht="15" hidden="false" customHeight="false" outlineLevel="0" collapsed="false">
      <c r="A10" s="8" t="n">
        <v>6</v>
      </c>
      <c r="B10" s="8" t="s">
        <v>538</v>
      </c>
      <c r="C10" s="8" t="n">
        <v>88.5</v>
      </c>
      <c r="D10" s="8" t="s">
        <v>539</v>
      </c>
      <c r="E10" s="8" t="s">
        <v>386</v>
      </c>
    </row>
    <row r="11" customFormat="false" ht="15" hidden="false" customHeight="false" outlineLevel="0" collapsed="false">
      <c r="A11" s="8" t="n">
        <v>7</v>
      </c>
      <c r="B11" s="8" t="s">
        <v>540</v>
      </c>
      <c r="C11" s="8" t="n">
        <v>85.5</v>
      </c>
      <c r="D11" s="8" t="s">
        <v>524</v>
      </c>
      <c r="E11" s="8" t="s">
        <v>511</v>
      </c>
    </row>
    <row r="12" customFormat="false" ht="15" hidden="false" customHeight="false" outlineLevel="0" collapsed="false">
      <c r="A12" s="8" t="n">
        <f aca="false">8</f>
        <v>8</v>
      </c>
      <c r="B12" s="8" t="s">
        <v>541</v>
      </c>
      <c r="C12" s="8" t="n">
        <v>85</v>
      </c>
      <c r="D12" s="8" t="s">
        <v>542</v>
      </c>
      <c r="E12" s="8" t="s">
        <v>375</v>
      </c>
    </row>
    <row r="13" customFormat="false" ht="15" hidden="false" customHeight="false" outlineLevel="0" collapsed="false">
      <c r="A13" s="8" t="n">
        <f aca="false">8</f>
        <v>8</v>
      </c>
      <c r="B13" s="8" t="s">
        <v>543</v>
      </c>
      <c r="C13" s="8" t="n">
        <v>85</v>
      </c>
      <c r="D13" s="8" t="s">
        <v>544</v>
      </c>
      <c r="E13" s="8" t="s">
        <v>511</v>
      </c>
    </row>
    <row r="14" customFormat="false" ht="15" hidden="false" customHeight="false" outlineLevel="0" collapsed="false">
      <c r="A14" s="8" t="n">
        <v>10</v>
      </c>
      <c r="B14" s="8" t="s">
        <v>545</v>
      </c>
      <c r="C14" s="8" t="n">
        <v>79</v>
      </c>
      <c r="D14" s="8" t="s">
        <v>546</v>
      </c>
      <c r="E14" s="8" t="s">
        <v>372</v>
      </c>
    </row>
    <row r="15" customFormat="false" ht="15" hidden="false" customHeight="false" outlineLevel="0" collapsed="false">
      <c r="A15" s="8" t="s">
        <v>62</v>
      </c>
      <c r="B15" s="8" t="s">
        <v>547</v>
      </c>
      <c r="C15" s="8" t="n">
        <v>73.7</v>
      </c>
      <c r="D15" s="8" t="s">
        <v>548</v>
      </c>
      <c r="E15" s="8" t="s">
        <v>372</v>
      </c>
    </row>
    <row r="17" customFormat="false" ht="15" hidden="false" customHeight="false" outlineLevel="0" collapsed="false">
      <c r="A17" s="9" t="s">
        <v>67</v>
      </c>
    </row>
    <row r="18" customFormat="false" ht="15" hidden="false" customHeight="false" outlineLevel="0" collapsed="false">
      <c r="A18" s="4" t="s">
        <v>549</v>
      </c>
    </row>
    <row r="19" customFormat="false" ht="15" hidden="false" customHeight="false" outlineLevel="0" collapsed="false">
      <c r="A19" s="4" t="s">
        <v>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5" min="4" style="0" width="4"/>
  </cols>
  <sheetData>
    <row r="1" customFormat="false" ht="17.35" hidden="false" customHeight="false" outlineLevel="0" collapsed="false">
      <c r="A1" s="5" t="s">
        <v>551</v>
      </c>
    </row>
    <row r="2" customFormat="false" ht="15" hidden="false" customHeight="false" outlineLevel="0" collapsed="false">
      <c r="A2" s="6" t="s">
        <v>36</v>
      </c>
    </row>
    <row r="4" customFormat="false" ht="15" hidden="false" customHeight="false" outlineLevel="0" collapsed="false">
      <c r="A4" s="7" t="s">
        <v>37</v>
      </c>
      <c r="B4" s="7" t="s">
        <v>158</v>
      </c>
      <c r="C4" s="7" t="s">
        <v>552</v>
      </c>
      <c r="D4" s="7"/>
      <c r="E4" s="7"/>
    </row>
    <row r="5" customFormat="false" ht="15" hidden="false" customHeight="false" outlineLevel="0" collapsed="false">
      <c r="A5" s="8" t="n">
        <v>1</v>
      </c>
      <c r="B5" s="8" t="s">
        <v>239</v>
      </c>
      <c r="C5" s="8" t="n">
        <v>12</v>
      </c>
      <c r="D5" s="8"/>
      <c r="E5" s="8"/>
    </row>
    <row r="6" customFormat="false" ht="15" hidden="false" customHeight="false" outlineLevel="0" collapsed="false">
      <c r="A6" s="8" t="n">
        <v>2</v>
      </c>
      <c r="B6" s="8" t="s">
        <v>167</v>
      </c>
      <c r="C6" s="8" t="n">
        <v>11</v>
      </c>
      <c r="D6" s="8"/>
      <c r="E6" s="8"/>
    </row>
    <row r="7" customFormat="false" ht="15" hidden="false" customHeight="false" outlineLevel="0" collapsed="false">
      <c r="A7" s="8" t="n">
        <v>3</v>
      </c>
      <c r="B7" s="8" t="s">
        <v>209</v>
      </c>
      <c r="C7" s="8" t="n">
        <v>9</v>
      </c>
      <c r="D7" s="8"/>
      <c r="E7" s="8"/>
    </row>
    <row r="8" customFormat="false" ht="15" hidden="false" customHeight="false" outlineLevel="0" collapsed="false">
      <c r="A8" s="8" t="n">
        <f aca="false">4</f>
        <v>4</v>
      </c>
      <c r="B8" s="8" t="s">
        <v>162</v>
      </c>
      <c r="C8" s="8" t="n">
        <v>8</v>
      </c>
      <c r="D8" s="8"/>
      <c r="E8" s="8"/>
    </row>
    <row r="9" customFormat="false" ht="15" hidden="false" customHeight="false" outlineLevel="0" collapsed="false">
      <c r="A9" s="8" t="n">
        <f aca="false">4</f>
        <v>4</v>
      </c>
      <c r="B9" s="8" t="s">
        <v>181</v>
      </c>
      <c r="C9" s="8" t="n">
        <v>8</v>
      </c>
      <c r="D9" s="8"/>
      <c r="E9" s="8"/>
    </row>
    <row r="10" customFormat="false" ht="15" hidden="false" customHeight="false" outlineLevel="0" collapsed="false">
      <c r="A10" s="8" t="n">
        <f aca="false">4</f>
        <v>4</v>
      </c>
      <c r="B10" s="8" t="s">
        <v>185</v>
      </c>
      <c r="C10" s="8" t="n">
        <v>8</v>
      </c>
      <c r="D10" s="8"/>
      <c r="E10" s="8"/>
    </row>
    <row r="11" customFormat="false" ht="15" hidden="false" customHeight="false" outlineLevel="0" collapsed="false">
      <c r="A11" s="8" t="n">
        <f aca="false">4</f>
        <v>4</v>
      </c>
      <c r="B11" s="8" t="s">
        <v>553</v>
      </c>
      <c r="C11" s="8" t="n">
        <v>8</v>
      </c>
      <c r="D11" s="8"/>
      <c r="E11" s="8"/>
    </row>
    <row r="12" customFormat="false" ht="15" hidden="false" customHeight="false" outlineLevel="0" collapsed="false">
      <c r="A12" s="8" t="n">
        <v>8</v>
      </c>
      <c r="B12" s="8" t="s">
        <v>233</v>
      </c>
      <c r="C12" s="8" t="n">
        <v>7</v>
      </c>
      <c r="D12" s="8"/>
      <c r="E12" s="8"/>
    </row>
    <row r="13" customFormat="false" ht="15" hidden="false" customHeight="false" outlineLevel="0" collapsed="false">
      <c r="A13" s="8" t="n">
        <v>9</v>
      </c>
      <c r="B13" s="8" t="s">
        <v>176</v>
      </c>
      <c r="C13" s="8" t="n">
        <v>6</v>
      </c>
      <c r="D13" s="8"/>
      <c r="E13" s="8"/>
    </row>
    <row r="14" customFormat="false" ht="15" hidden="false" customHeight="false" outlineLevel="0" collapsed="false">
      <c r="A14" s="10" t="n">
        <f aca="false">10</f>
        <v>10</v>
      </c>
      <c r="B14" s="10" t="s">
        <v>238</v>
      </c>
      <c r="C14" s="10" t="n">
        <v>5</v>
      </c>
      <c r="D14" s="10"/>
      <c r="E14" s="10"/>
    </row>
    <row r="15" customFormat="false" ht="15" hidden="false" customHeight="false" outlineLevel="0" collapsed="false">
      <c r="A15" s="10" t="n">
        <f aca="false">10</f>
        <v>10</v>
      </c>
      <c r="B15" s="10" t="s">
        <v>164</v>
      </c>
      <c r="C15" s="10" t="n">
        <v>5</v>
      </c>
      <c r="D15" s="10"/>
      <c r="E15" s="10"/>
    </row>
    <row r="16" customFormat="false" ht="15" hidden="false" customHeight="false" outlineLevel="0" collapsed="false">
      <c r="A16" s="10" t="n">
        <f aca="false">10</f>
        <v>10</v>
      </c>
      <c r="B16" s="10" t="s">
        <v>219</v>
      </c>
      <c r="C16" s="10" t="n">
        <v>5</v>
      </c>
      <c r="D16" s="10"/>
      <c r="E16" s="10"/>
    </row>
    <row r="17" customFormat="false" ht="15" hidden="false" customHeight="false" outlineLevel="0" collapsed="false">
      <c r="A17" s="10" t="n">
        <f aca="false">10</f>
        <v>10</v>
      </c>
      <c r="B17" s="10" t="s">
        <v>183</v>
      </c>
      <c r="C17" s="10" t="n">
        <v>5</v>
      </c>
      <c r="D17" s="10"/>
      <c r="E17" s="10"/>
    </row>
    <row r="18" customFormat="false" ht="15" hidden="false" customHeight="false" outlineLevel="0" collapsed="false">
      <c r="A18" s="10" t="n">
        <f aca="false">10</f>
        <v>10</v>
      </c>
      <c r="B18" s="10" t="s">
        <v>257</v>
      </c>
      <c r="C18" s="10" t="n">
        <v>5</v>
      </c>
      <c r="D18" s="10"/>
      <c r="E18" s="10"/>
    </row>
    <row r="19" customFormat="false" ht="15" hidden="false" customHeight="false" outlineLevel="0" collapsed="false">
      <c r="A19" s="10" t="n">
        <f aca="false">10</f>
        <v>10</v>
      </c>
      <c r="B19" s="10" t="s">
        <v>207</v>
      </c>
      <c r="C19" s="10" t="n">
        <v>5</v>
      </c>
      <c r="D19" s="10"/>
      <c r="E19" s="10"/>
    </row>
    <row r="21" customFormat="false" ht="15" hidden="false" customHeight="false" outlineLevel="0" collapsed="false">
      <c r="A21" s="9" t="s">
        <v>67</v>
      </c>
    </row>
    <row r="22" customFormat="false" ht="15" hidden="false" customHeight="false" outlineLevel="0" collapsed="false">
      <c r="A22" s="4" t="s">
        <v>554</v>
      </c>
    </row>
    <row r="23" customFormat="false" ht="15" hidden="false" customHeight="false" outlineLevel="0" collapsed="false">
      <c r="A23" s="4" t="s">
        <v>555</v>
      </c>
    </row>
    <row r="24" customFormat="false" ht="15" hidden="false" customHeight="false" outlineLevel="0" collapsed="false">
      <c r="A24" s="4" t="s">
        <v>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5" min="4" style="0" width="4"/>
  </cols>
  <sheetData>
    <row r="1" customFormat="false" ht="17.35" hidden="false" customHeight="false" outlineLevel="0" collapsed="false">
      <c r="A1" s="5" t="s">
        <v>557</v>
      </c>
    </row>
    <row r="2" customFormat="false" ht="15" hidden="false" customHeight="false" outlineLevel="0" collapsed="false">
      <c r="A2" s="6" t="s">
        <v>117</v>
      </c>
    </row>
    <row r="4" customFormat="false" ht="15" hidden="false" customHeight="false" outlineLevel="0" collapsed="false">
      <c r="A4" s="7" t="s">
        <v>37</v>
      </c>
      <c r="B4" s="7" t="s">
        <v>158</v>
      </c>
      <c r="C4" s="7" t="s">
        <v>40</v>
      </c>
      <c r="D4" s="7"/>
      <c r="E4" s="7"/>
    </row>
    <row r="5" customFormat="false" ht="15" hidden="false" customHeight="false" outlineLevel="0" collapsed="false">
      <c r="A5" s="8" t="n">
        <v>1</v>
      </c>
      <c r="B5" s="8" t="s">
        <v>162</v>
      </c>
      <c r="C5" s="8" t="n">
        <v>48</v>
      </c>
      <c r="D5" s="8"/>
      <c r="E5" s="8"/>
    </row>
    <row r="6" customFormat="false" ht="15" hidden="false" customHeight="false" outlineLevel="0" collapsed="false">
      <c r="A6" s="8" t="n">
        <v>2</v>
      </c>
      <c r="B6" s="8" t="s">
        <v>164</v>
      </c>
      <c r="C6" s="8" t="n">
        <v>65</v>
      </c>
      <c r="D6" s="8"/>
      <c r="E6" s="8"/>
    </row>
    <row r="7" customFormat="false" ht="15" hidden="false" customHeight="false" outlineLevel="0" collapsed="false">
      <c r="A7" s="8" t="n">
        <v>3</v>
      </c>
      <c r="B7" s="8" t="s">
        <v>167</v>
      </c>
      <c r="C7" s="8" t="n">
        <v>66</v>
      </c>
      <c r="D7" s="8"/>
      <c r="E7" s="8"/>
    </row>
    <row r="8" customFormat="false" ht="15" hidden="false" customHeight="false" outlineLevel="0" collapsed="false">
      <c r="A8" s="8" t="n">
        <v>4</v>
      </c>
      <c r="B8" s="8" t="s">
        <v>219</v>
      </c>
      <c r="C8" s="8" t="n">
        <v>68</v>
      </c>
      <c r="D8" s="8"/>
      <c r="E8" s="8"/>
    </row>
    <row r="9" customFormat="false" ht="15" hidden="false" customHeight="false" outlineLevel="0" collapsed="false">
      <c r="A9" s="8" t="n">
        <f aca="false">5</f>
        <v>5</v>
      </c>
      <c r="B9" s="8" t="s">
        <v>232</v>
      </c>
      <c r="C9" s="8" t="n">
        <v>72</v>
      </c>
      <c r="D9" s="8"/>
      <c r="E9" s="8"/>
    </row>
    <row r="10" customFormat="false" ht="15" hidden="false" customHeight="false" outlineLevel="0" collapsed="false">
      <c r="A10" s="8" t="n">
        <f aca="false">5</f>
        <v>5</v>
      </c>
      <c r="B10" s="8" t="s">
        <v>170</v>
      </c>
      <c r="C10" s="8" t="n">
        <v>72</v>
      </c>
      <c r="D10" s="8"/>
      <c r="E10" s="8"/>
    </row>
    <row r="11" customFormat="false" ht="15" hidden="false" customHeight="false" outlineLevel="0" collapsed="false">
      <c r="A11" s="8" t="n">
        <v>7</v>
      </c>
      <c r="B11" s="8" t="s">
        <v>265</v>
      </c>
      <c r="C11" s="8" t="n">
        <v>76</v>
      </c>
      <c r="D11" s="8"/>
      <c r="E11" s="8"/>
    </row>
    <row r="12" customFormat="false" ht="15" hidden="false" customHeight="false" outlineLevel="0" collapsed="false">
      <c r="A12" s="8" t="n">
        <v>8</v>
      </c>
      <c r="B12" s="8" t="s">
        <v>253</v>
      </c>
      <c r="C12" s="8" t="n">
        <v>79</v>
      </c>
      <c r="D12" s="8"/>
      <c r="E12" s="8"/>
    </row>
    <row r="13" customFormat="false" ht="15" hidden="false" customHeight="false" outlineLevel="0" collapsed="false">
      <c r="A13" s="8" t="n">
        <v>9</v>
      </c>
      <c r="B13" s="8" t="s">
        <v>239</v>
      </c>
      <c r="C13" s="8" t="n">
        <v>81</v>
      </c>
      <c r="D13" s="8"/>
      <c r="E13" s="8"/>
    </row>
    <row r="14" customFormat="false" ht="15" hidden="false" customHeight="false" outlineLevel="0" collapsed="false">
      <c r="A14" s="10" t="n">
        <f aca="false">10</f>
        <v>10</v>
      </c>
      <c r="B14" s="10" t="s">
        <v>181</v>
      </c>
      <c r="C14" s="10" t="n">
        <v>83</v>
      </c>
      <c r="D14" s="10"/>
      <c r="E14" s="10"/>
    </row>
    <row r="15" customFormat="false" ht="15" hidden="false" customHeight="false" outlineLevel="0" collapsed="false">
      <c r="A15" s="10" t="n">
        <f aca="false">10</f>
        <v>10</v>
      </c>
      <c r="B15" s="10" t="s">
        <v>178</v>
      </c>
      <c r="C15" s="10" t="n">
        <v>83</v>
      </c>
      <c r="D15" s="10"/>
      <c r="E15" s="10"/>
    </row>
    <row r="16" customFormat="false" ht="15" hidden="false" customHeight="false" outlineLevel="0" collapsed="false">
      <c r="A16" s="8" t="s">
        <v>62</v>
      </c>
      <c r="B16" s="8" t="s">
        <v>245</v>
      </c>
      <c r="C16" s="8" t="n">
        <v>85</v>
      </c>
      <c r="D16" s="8"/>
      <c r="E16" s="8"/>
    </row>
    <row r="18" customFormat="false" ht="15" hidden="false" customHeight="false" outlineLevel="0" collapsed="false">
      <c r="A18" s="9" t="s">
        <v>67</v>
      </c>
    </row>
    <row r="19" customFormat="false" ht="15" hidden="false" customHeight="false" outlineLevel="0" collapsed="false">
      <c r="A19" s="4" t="s">
        <v>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4"/>
  </cols>
  <sheetData>
    <row r="1" customFormat="false" ht="17.35" hidden="false" customHeight="false" outlineLevel="0" collapsed="false">
      <c r="A1" s="5" t="s">
        <v>559</v>
      </c>
    </row>
    <row r="2" customFormat="false" ht="15" hidden="false" customHeight="false" outlineLevel="0" collapsed="false">
      <c r="A2" s="6" t="s">
        <v>117</v>
      </c>
    </row>
    <row r="4" customFormat="false" ht="15" hidden="false" customHeight="false" outlineLevel="0" collapsed="false">
      <c r="A4" s="7" t="s">
        <v>37</v>
      </c>
      <c r="B4" s="7" t="s">
        <v>158</v>
      </c>
      <c r="C4" s="7" t="s">
        <v>40</v>
      </c>
      <c r="D4" s="7" t="s">
        <v>560</v>
      </c>
      <c r="E4" s="7"/>
    </row>
    <row r="5" customFormat="false" ht="15" hidden="false" customHeight="false" outlineLevel="0" collapsed="false">
      <c r="A5" s="8" t="n">
        <v>1</v>
      </c>
      <c r="B5" s="8" t="s">
        <v>162</v>
      </c>
      <c r="C5" s="8" t="n">
        <v>111</v>
      </c>
      <c r="D5" s="8" t="s">
        <v>561</v>
      </c>
      <c r="E5" s="8"/>
    </row>
    <row r="6" customFormat="false" ht="15" hidden="false" customHeight="false" outlineLevel="0" collapsed="false">
      <c r="A6" s="8" t="n">
        <v>2</v>
      </c>
      <c r="B6" s="8" t="s">
        <v>167</v>
      </c>
      <c r="C6" s="8" t="n">
        <v>124</v>
      </c>
      <c r="D6" s="8" t="s">
        <v>562</v>
      </c>
      <c r="E6" s="8"/>
    </row>
    <row r="7" customFormat="false" ht="15" hidden="false" customHeight="false" outlineLevel="0" collapsed="false">
      <c r="A7" s="8" t="n">
        <v>3</v>
      </c>
      <c r="B7" s="8" t="s">
        <v>185</v>
      </c>
      <c r="C7" s="8" t="n">
        <v>141</v>
      </c>
      <c r="D7" s="8" t="s">
        <v>563</v>
      </c>
      <c r="E7" s="8"/>
    </row>
    <row r="8" customFormat="false" ht="15" hidden="false" customHeight="false" outlineLevel="0" collapsed="false">
      <c r="A8" s="8" t="n">
        <v>4</v>
      </c>
      <c r="B8" s="8" t="s">
        <v>239</v>
      </c>
      <c r="C8" s="8" t="n">
        <v>147</v>
      </c>
      <c r="D8" s="8" t="s">
        <v>564</v>
      </c>
      <c r="E8" s="8"/>
    </row>
    <row r="9" customFormat="false" ht="15" hidden="false" customHeight="false" outlineLevel="0" collapsed="false">
      <c r="A9" s="8" t="n">
        <v>5</v>
      </c>
      <c r="B9" s="8" t="s">
        <v>181</v>
      </c>
      <c r="C9" s="8" t="n">
        <v>160</v>
      </c>
      <c r="D9" s="8" t="s">
        <v>565</v>
      </c>
      <c r="E9" s="8"/>
    </row>
    <row r="10" customFormat="false" ht="15" hidden="false" customHeight="false" outlineLevel="0" collapsed="false">
      <c r="A10" s="8" t="n">
        <v>6</v>
      </c>
      <c r="B10" s="8" t="s">
        <v>170</v>
      </c>
      <c r="C10" s="8" t="n">
        <v>162</v>
      </c>
      <c r="D10" s="8" t="s">
        <v>566</v>
      </c>
      <c r="E10" s="8"/>
    </row>
    <row r="11" customFormat="false" ht="15" hidden="false" customHeight="false" outlineLevel="0" collapsed="false">
      <c r="A11" s="8" t="n">
        <v>7</v>
      </c>
      <c r="B11" s="8" t="s">
        <v>207</v>
      </c>
      <c r="C11" s="8" t="n">
        <v>173</v>
      </c>
      <c r="D11" s="8" t="s">
        <v>567</v>
      </c>
      <c r="E11" s="8"/>
    </row>
    <row r="12" customFormat="false" ht="15" hidden="false" customHeight="false" outlineLevel="0" collapsed="false">
      <c r="A12" s="8" t="n">
        <v>8</v>
      </c>
      <c r="B12" s="8" t="s">
        <v>209</v>
      </c>
      <c r="C12" s="8" t="n">
        <v>175</v>
      </c>
      <c r="D12" s="8" t="s">
        <v>568</v>
      </c>
      <c r="E12" s="8"/>
    </row>
    <row r="13" customFormat="false" ht="15" hidden="false" customHeight="false" outlineLevel="0" collapsed="false">
      <c r="A13" s="8" t="n">
        <v>9</v>
      </c>
      <c r="B13" s="8" t="s">
        <v>200</v>
      </c>
      <c r="C13" s="8" t="n">
        <v>178</v>
      </c>
      <c r="D13" s="8" t="s">
        <v>569</v>
      </c>
      <c r="E13" s="8"/>
    </row>
    <row r="14" customFormat="false" ht="15" hidden="false" customHeight="false" outlineLevel="0" collapsed="false">
      <c r="A14" s="10" t="n">
        <f aca="false">10</f>
        <v>10</v>
      </c>
      <c r="B14" s="10" t="s">
        <v>553</v>
      </c>
      <c r="C14" s="10" t="n">
        <v>185</v>
      </c>
      <c r="D14" s="10" t="s">
        <v>570</v>
      </c>
      <c r="E14" s="10"/>
    </row>
    <row r="15" customFormat="false" ht="15" hidden="false" customHeight="false" outlineLevel="0" collapsed="false">
      <c r="A15" s="10" t="n">
        <f aca="false">10</f>
        <v>10</v>
      </c>
      <c r="B15" s="10" t="s">
        <v>164</v>
      </c>
      <c r="C15" s="10" t="n">
        <v>185</v>
      </c>
      <c r="D15" s="10"/>
      <c r="E15" s="10"/>
    </row>
    <row r="16" customFormat="false" ht="15" hidden="false" customHeight="false" outlineLevel="0" collapsed="false">
      <c r="A16" s="8" t="s">
        <v>62</v>
      </c>
      <c r="B16" s="8" t="s">
        <v>183</v>
      </c>
      <c r="C16" s="8" t="n">
        <v>197</v>
      </c>
      <c r="D16" s="8"/>
      <c r="E16" s="8"/>
    </row>
    <row r="18" customFormat="false" ht="15" hidden="false" customHeight="false" outlineLevel="0" collapsed="false">
      <c r="A18" s="9" t="s">
        <v>67</v>
      </c>
    </row>
    <row r="19" customFormat="false" ht="15" hidden="false" customHeight="false" outlineLevel="0" collapsed="false">
      <c r="A19" s="4" t="s">
        <v>571</v>
      </c>
    </row>
    <row r="20" customFormat="false" ht="15" hidden="false" customHeight="false" outlineLevel="0" collapsed="false">
      <c r="A20" s="4" t="s">
        <v>572</v>
      </c>
    </row>
    <row r="21" customFormat="false" ht="15" hidden="false" customHeight="false" outlineLevel="0" collapsed="false">
      <c r="A21" s="4" t="s">
        <v>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5" t="s">
        <v>574</v>
      </c>
    </row>
    <row r="3" customFormat="false" ht="15" hidden="false" customHeight="false" outlineLevel="0" collapsed="false">
      <c r="A3" s="4" t="s">
        <v>575</v>
      </c>
    </row>
    <row r="4" customFormat="false" ht="15" hidden="false" customHeight="false" outlineLevel="0" collapsed="false">
      <c r="A4" s="4" t="s">
        <v>576</v>
      </c>
    </row>
    <row r="5" customFormat="false" ht="15" hidden="false" customHeight="false" outlineLevel="0" collapsed="false">
      <c r="A5" s="4" t="s">
        <v>577</v>
      </c>
    </row>
    <row r="6" customFormat="false" ht="15" hidden="false" customHeight="false" outlineLevel="0" collapsed="false">
      <c r="A6" s="4" t="s">
        <v>578</v>
      </c>
    </row>
    <row r="7" customFormat="false" ht="15" hidden="false" customHeight="false" outlineLevel="0" collapsed="false">
      <c r="A7" s="4" t="s">
        <v>579</v>
      </c>
    </row>
    <row r="8" customFormat="false" ht="15" hidden="false" customHeight="false" outlineLevel="0" collapsed="false">
      <c r="A8" s="4" t="s">
        <v>580</v>
      </c>
    </row>
    <row r="9" customFormat="false" ht="15" hidden="false" customHeight="false" outlineLevel="0" collapsed="false">
      <c r="A9" s="4" t="s">
        <v>581</v>
      </c>
    </row>
    <row r="10" customFormat="false" ht="15" hidden="false" customHeight="false" outlineLevel="0" collapsed="false">
      <c r="A10" s="4" t="s">
        <v>582</v>
      </c>
    </row>
    <row r="11" customFormat="false" ht="15" hidden="false" customHeight="false" outlineLevel="0" collapsed="false">
      <c r="A11" s="4" t="s">
        <v>583</v>
      </c>
    </row>
    <row r="12" customFormat="false" ht="15" hidden="false" customHeight="false" outlineLevel="0" collapsed="false">
      <c r="A12" s="4" t="s">
        <v>584</v>
      </c>
    </row>
    <row r="13" customFormat="false" ht="15" hidden="false" customHeight="false" outlineLevel="0" collapsed="false">
      <c r="A13" s="4" t="s">
        <v>585</v>
      </c>
    </row>
    <row r="14" customFormat="false" ht="15" hidden="false" customHeight="false" outlineLevel="0" collapsed="false">
      <c r="A14" s="4" t="s">
        <v>586</v>
      </c>
    </row>
    <row r="15" customFormat="false" ht="15" hidden="false" customHeight="false" outlineLevel="0" collapsed="false">
      <c r="A15" s="4" t="s">
        <v>587</v>
      </c>
    </row>
    <row r="16" customFormat="false" ht="15" hidden="false" customHeight="false" outlineLevel="0" collapsed="false">
      <c r="A16" s="4" t="s">
        <v>588</v>
      </c>
    </row>
    <row r="17" customFormat="false" ht="15" hidden="false" customHeight="false" outlineLevel="0" collapsed="false">
      <c r="A17" s="4" t="s">
        <v>589</v>
      </c>
    </row>
    <row r="18" customFormat="false" ht="15" hidden="false" customHeight="false" outlineLevel="0" collapsed="false">
      <c r="A18" s="4" t="s">
        <v>590</v>
      </c>
    </row>
    <row r="19" customFormat="false" ht="15" hidden="false" customHeight="false" outlineLevel="0" collapsed="false">
      <c r="A19" s="4" t="s">
        <v>591</v>
      </c>
    </row>
    <row r="20" customFormat="false" ht="15" hidden="false" customHeight="false" outlineLevel="0" collapsed="false">
      <c r="A20" s="4" t="s">
        <v>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2026-10-01T21:58:39Z</dcterms:created>
  <dc:creator>openpyxl</dc:creator>
  <dc:description/>
  <dc:language>en-US</dc:language>
  <cp:lastModifiedBy/>
  <dcterms:modified xsi:type="dcterms:W3CDTF">2026-10-01T21:58:39Z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